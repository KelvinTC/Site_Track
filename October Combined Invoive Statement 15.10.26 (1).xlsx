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INITY\Downloads\"/>
    </mc:Choice>
  </mc:AlternateContent>
  <bookViews>
    <workbookView xWindow="0" yWindow="0" windowWidth="23040" windowHeight="9072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0" i="1" l="1"/>
  <c r="J148" i="1"/>
  <c r="I152" i="1"/>
  <c r="J132" i="1" l="1"/>
  <c r="I19" i="1" l="1"/>
  <c r="I21" i="1"/>
  <c r="I20" i="1"/>
  <c r="I18" i="1"/>
  <c r="I17" i="1"/>
  <c r="I15" i="1"/>
  <c r="I16" i="1" l="1"/>
  <c r="I14" i="1"/>
  <c r="I13" i="1" l="1"/>
  <c r="I12" i="1"/>
  <c r="I11" i="1"/>
  <c r="I10" i="1"/>
</calcChain>
</file>

<file path=xl/sharedStrings.xml><?xml version="1.0" encoding="utf-8"?>
<sst xmlns="http://schemas.openxmlformats.org/spreadsheetml/2006/main" count="430" uniqueCount="300">
  <si>
    <t>DATE</t>
  </si>
  <si>
    <t>INVOICE NUMBER</t>
  </si>
  <si>
    <t xml:space="preserve"> DESCRIPTION</t>
  </si>
  <si>
    <t>DEPOT</t>
  </si>
  <si>
    <t>PR#</t>
  </si>
  <si>
    <t>ORDER #</t>
  </si>
  <si>
    <t>JOB CARD</t>
  </si>
  <si>
    <t>TOTAL AMOUNT</t>
  </si>
  <si>
    <t>`</t>
  </si>
  <si>
    <t>11 kv cable fault trenching 2 join boxes plus 1 coil box</t>
  </si>
  <si>
    <t>Borrowdale</t>
  </si>
  <si>
    <t>11 kv cable fault trenching 5m plus 1  join box and 1 coil box</t>
  </si>
  <si>
    <t>CBD</t>
  </si>
  <si>
    <t>11 Kv cable fault trenching 10m</t>
  </si>
  <si>
    <t>11 Kv cable fault trenching 1230m plus road crossing 10m on tar, 4 join boxes, 4 coil boxes, thrust boring,  5 ducts layed, cable redrumming 1220m, cable redrumming 400m, spoil disposal,council permit ( 7th Street) and council permit (Selous Avenue)</t>
  </si>
  <si>
    <t>11 Kv cable fault trenching 7m on hard ground with concrete plus spoil disposal</t>
  </si>
  <si>
    <t>11 Kv cable fault trenching 5m plus 9 pilot holes and 1 joinbox</t>
  </si>
  <si>
    <t>Ruwa</t>
  </si>
  <si>
    <t>11 Kv cable fault trenching 23m plus 1 coil box and cable laying 90m</t>
  </si>
  <si>
    <t>Mv cable trenching 4m plus 1 join box</t>
  </si>
  <si>
    <t>Mabvuku</t>
  </si>
  <si>
    <t>Mv cable trenching 1 coil box</t>
  </si>
  <si>
    <t>Mabelreign</t>
  </si>
  <si>
    <t>11 Kv cable trenching 10m  plus 1 join box</t>
  </si>
  <si>
    <t>Mv cable trenching 2m plus 1 joinboxes</t>
  </si>
  <si>
    <t>11 Kv cable trenching 102m  plus  service cable trenching 5m, 2 coil boxes, 2 pilot holes, 1 stay hole, cable redrumming 92m, cable recovery and cable laying 24m</t>
  </si>
  <si>
    <t>5266 &amp; 5267</t>
  </si>
  <si>
    <t>Total</t>
  </si>
  <si>
    <t>October Combined Statement</t>
  </si>
  <si>
    <t>11kv cable backfilling 25m</t>
  </si>
  <si>
    <t>WARREN PARK</t>
  </si>
  <si>
    <t>11kv cable fault trenching 7m plus 1 join box</t>
  </si>
  <si>
    <t>11kv cable fault trenching 4m [12x(1.5m/0.9m)] plus 2 joint holes</t>
  </si>
  <si>
    <t>Mv cable fault trenching 12m plus 1 coil box</t>
  </si>
  <si>
    <t>Kuwadzana</t>
  </si>
  <si>
    <t>11kv cable fault trenching 10m plus 2 joint holes and 2 coil boxes</t>
  </si>
  <si>
    <t>11kv cable fault trenching 3m plus 1 joint hole and 1 coil box</t>
  </si>
  <si>
    <t>11kv cable fault trenching 13m plus 2 join boxes</t>
  </si>
  <si>
    <t>11kv cable fault trenching 5m plus 1 join box and 1 coil box</t>
  </si>
  <si>
    <t>Waterfalls</t>
  </si>
  <si>
    <t>Mv cable fault trenching 70m on hard ground plus mv cable redrumming 140m, cable laying 140m, driveway trenching 12m on hard ground and pvc duct laying 12m</t>
  </si>
  <si>
    <t>T10001</t>
  </si>
  <si>
    <t>T10002</t>
  </si>
  <si>
    <t>T10003</t>
  </si>
  <si>
    <t>T10004</t>
  </si>
  <si>
    <t>T10005</t>
  </si>
  <si>
    <t>T10006</t>
  </si>
  <si>
    <t>T10007</t>
  </si>
  <si>
    <t>T10008</t>
  </si>
  <si>
    <t>T10009</t>
  </si>
  <si>
    <t>T10010</t>
  </si>
  <si>
    <t>T10011</t>
  </si>
  <si>
    <t>T10012</t>
  </si>
  <si>
    <t>T10050</t>
  </si>
  <si>
    <t>T10051</t>
  </si>
  <si>
    <t>T10052</t>
  </si>
  <si>
    <t>T10053</t>
  </si>
  <si>
    <t>T10054</t>
  </si>
  <si>
    <t>T10055</t>
  </si>
  <si>
    <t>T10056</t>
  </si>
  <si>
    <t>T10057</t>
  </si>
  <si>
    <t>T10058</t>
  </si>
  <si>
    <t>T-261013</t>
  </si>
  <si>
    <t>Mv cable fualt trenching 15m plus 1 join box</t>
  </si>
  <si>
    <t>T-261014</t>
  </si>
  <si>
    <t>Service cable fault trenching 7m</t>
  </si>
  <si>
    <t>T-261015</t>
  </si>
  <si>
    <t>11 Kv cable fault trenching 8m plus 1 join box</t>
  </si>
  <si>
    <t>T-261016</t>
  </si>
  <si>
    <t>Mv cable fault trenching 12m plus 1 join box</t>
  </si>
  <si>
    <t>T-261017</t>
  </si>
  <si>
    <t>Mv cable fault trenching 3m plus 1 coil box</t>
  </si>
  <si>
    <t>T-261018</t>
  </si>
  <si>
    <t>11 Kv 6 pilot holes trenching</t>
  </si>
  <si>
    <t>T-261019</t>
  </si>
  <si>
    <t>Mv cable fault trenching 1 coil box</t>
  </si>
  <si>
    <t>T-261020</t>
  </si>
  <si>
    <t>11 Kv cable fault trenching 5m plus 1 coil box</t>
  </si>
  <si>
    <t>T-261021</t>
  </si>
  <si>
    <t>11 Kv cable fault trenching 5m plus  1 join box</t>
  </si>
  <si>
    <t>T-261022</t>
  </si>
  <si>
    <t>Mv cable fault trenching 10m 1 join box</t>
  </si>
  <si>
    <t>T-261023</t>
  </si>
  <si>
    <t>T-261024</t>
  </si>
  <si>
    <t>11 Kv cable fault trenching 12m plus 1 join box, 2 coil boxes and 1 pilot holes</t>
  </si>
  <si>
    <t>T-261025</t>
  </si>
  <si>
    <t>Mv cable fault trenching 1 join box</t>
  </si>
  <si>
    <t>T-261026</t>
  </si>
  <si>
    <t>Mv cable trenching 250m on hard ground with concrete  plus cable trenching 150m on hard ground with gravel, 4 join boxes, 80m old cable laying, old cable recovery 160m, new cable laying 320m, new cable recovery 129m and spoil disposal</t>
  </si>
  <si>
    <t>T-261027</t>
  </si>
  <si>
    <t>Service cable trenching 6m  plus 1 join box and 1 coil box</t>
  </si>
  <si>
    <t>T-261028</t>
  </si>
  <si>
    <t>Mv cable trenching 40m on hard ground with tar and concrete plus  2 join boxes and spoil disposal</t>
  </si>
  <si>
    <t xml:space="preserve">CBD </t>
  </si>
  <si>
    <t>T-261029</t>
  </si>
  <si>
    <t>11 Kv  cable trenching 11m plus 1 coil box</t>
  </si>
  <si>
    <t>T-261030</t>
  </si>
  <si>
    <t>11 Kv 6 pilot holes trenching   plus 5 stay wire holes</t>
  </si>
  <si>
    <t>T-261031</t>
  </si>
  <si>
    <t>11 Kv cable fault trenching 130m plus 1 coil box</t>
  </si>
  <si>
    <t>T-261032</t>
  </si>
  <si>
    <t>11 Kv cable fault trenching 4m plus 1 coil box</t>
  </si>
  <si>
    <t>T-261033</t>
  </si>
  <si>
    <t>Mv cable fault trenching 10m plus 4 pilot holes trenching, 1 coil box and cable laying 26m</t>
  </si>
  <si>
    <t>T-261034</t>
  </si>
  <si>
    <t>T-261035</t>
  </si>
  <si>
    <t>Mv cable fault trenching 6m plus 1 pilot hole trenching, 2 coil boxes and cable laying (20m x 2 cables)</t>
  </si>
  <si>
    <t>T-261036</t>
  </si>
  <si>
    <t>Mv cable fault trenching 14m</t>
  </si>
  <si>
    <t>T-261037</t>
  </si>
  <si>
    <t>Mv cable fault trenching 8m on hard rocky ground  plus 1 joib box and spoil disposal</t>
  </si>
  <si>
    <t>T-261038</t>
  </si>
  <si>
    <t>11 kv cable fault trenching 10m [15x(1.8m/0.9m) plus 1 join box</t>
  </si>
  <si>
    <t>T-261039</t>
  </si>
  <si>
    <t>11 kv cable fault trenching (10m x 2 cables) 20m 2 coil boxes</t>
  </si>
  <si>
    <t>T-261040</t>
  </si>
  <si>
    <t>Mv cable trenching 10m plus 1 coil box</t>
  </si>
  <si>
    <t>T-261041</t>
  </si>
  <si>
    <t>Mv cable trenching 12m plus 1 coil box and cable laying 15m</t>
  </si>
  <si>
    <t>T-261042</t>
  </si>
  <si>
    <t>Mv cable trenching 8m plus 2 join boxes</t>
  </si>
  <si>
    <t>T-261043</t>
  </si>
  <si>
    <t>Mv cable trenching 7m plus 1 join box and 1 coil box</t>
  </si>
  <si>
    <t>T-261044</t>
  </si>
  <si>
    <t>Mv cable trenching 65m  plus 2 coil boxes, 1 join box, cable redrumming 85m, cable recovery 30m and cable laying  30m</t>
  </si>
  <si>
    <t>T-261045</t>
  </si>
  <si>
    <t>11 Kv cable fault trenching 10m plus 1 join box</t>
  </si>
  <si>
    <t>T-261046</t>
  </si>
  <si>
    <t xml:space="preserve">11 Kv 2 pilot holes trenching </t>
  </si>
  <si>
    <t>T-261047</t>
  </si>
  <si>
    <t>T-261048</t>
  </si>
  <si>
    <t>11 Kv cable trenching 5m plus 1 join box and 1 coil box</t>
  </si>
  <si>
    <t>T-261049</t>
  </si>
  <si>
    <t>Mv cable fult trenching 49m plus 1 join box</t>
  </si>
  <si>
    <t>11 Kv cable fault trenching 20m  plus  1 join box and spoil disposal</t>
  </si>
  <si>
    <t>Mv cable trenching  6m plus 1 join box and 1 coil box</t>
  </si>
  <si>
    <t>T-261060</t>
  </si>
  <si>
    <t xml:space="preserve">Mv cable fault trenching 5m plus 1 join box </t>
  </si>
  <si>
    <t>T-261061</t>
  </si>
  <si>
    <t xml:space="preserve">1 join box </t>
  </si>
  <si>
    <t>T-261062</t>
  </si>
  <si>
    <t xml:space="preserve"> Mv cable fault trenching 10m plus 1 join box  and 1 coil box</t>
  </si>
  <si>
    <t>Glenview</t>
  </si>
  <si>
    <t>T-261063</t>
  </si>
  <si>
    <t>Mv cable fault trenching 5</t>
  </si>
  <si>
    <t>T-261064</t>
  </si>
  <si>
    <t>11 Kv cable fault 66m</t>
  </si>
  <si>
    <t>T-261065</t>
  </si>
  <si>
    <t xml:space="preserve">11 Kv cable fault 120m plus cable redrumming  145m, cable laying 145m, 2 coil boxes, pvc duct laying 12m and 8m drive way crossing </t>
  </si>
  <si>
    <t xml:space="preserve">Wterfalls </t>
  </si>
  <si>
    <t>T-261066</t>
  </si>
  <si>
    <t xml:space="preserve">21 palled fencing post </t>
  </si>
  <si>
    <t>T-261067</t>
  </si>
  <si>
    <t xml:space="preserve">25m cable pulled from water  plus 25 cable laying </t>
  </si>
  <si>
    <t>Sourtherton</t>
  </si>
  <si>
    <t>T-261068</t>
  </si>
  <si>
    <t xml:space="preserve">11 Kv cable trenching  2m plus 11 Kv cable backfiling 40m  and 1 coil box </t>
  </si>
  <si>
    <t>T-261069</t>
  </si>
  <si>
    <t xml:space="preserve"> Mv cable fault trenching 109m on hard ground gravel and tree roots plus 2 coil boxes ,spoil disposal,2 join  boxes  ,cable redrumming 100m and  cable laying </t>
  </si>
  <si>
    <t>T-261059</t>
  </si>
  <si>
    <t xml:space="preserve">11 Kv cable fault trenching 10m plus 1 join box </t>
  </si>
  <si>
    <t>11 Kv cable trenching 10m pus 1 join box, 1 coilbox  and cable laying 25m</t>
  </si>
  <si>
    <t>11 Kv cable trenching 10m  plus 1 coil box</t>
  </si>
  <si>
    <t xml:space="preserve">11 Kv cable trenching 4 pilot holes </t>
  </si>
  <si>
    <t xml:space="preserve">Mv cable trenching 8m on hard ground with concrete and spoil disposal 
 </t>
  </si>
  <si>
    <t>Mv cable fault trenching 10m  plus 3 join box</t>
  </si>
  <si>
    <t xml:space="preserve">Mv cable fault trenching 52m plus 2 coil boxes and cable laying 52m
</t>
  </si>
  <si>
    <t xml:space="preserve">11 Kv cable trenching 52m with gravel plus1 join box ,driveway croosing 8m with concrete ,2 ducts and spoil disposal 
</t>
  </si>
  <si>
    <t xml:space="preserve">Mv cable fault trenching 10m plus 1 join box
</t>
  </si>
  <si>
    <t xml:space="preserve">Mv cable  trenching  140m plus Cable cable recovery 140m
</t>
  </si>
  <si>
    <t xml:space="preserve">11 Kv cable trenching 12m plus 2 join box
</t>
  </si>
  <si>
    <t>Mv cable fault trenching 6m</t>
  </si>
  <si>
    <t xml:space="preserve">11 Kv cable  fault trenching 6m plus 1 join box 
</t>
  </si>
  <si>
    <t xml:space="preserve">Mv cable redrumming 150m plus cable laying 150m
</t>
  </si>
  <si>
    <t>T-261070</t>
  </si>
  <si>
    <t xml:space="preserve">Mv cable fault trenching 10m  (10.20*(1/0.45) plus 1 join box
</t>
  </si>
  <si>
    <t>T-261071</t>
  </si>
  <si>
    <t xml:space="preserve">Mv cable fault trenching 15m plus mv cable recovery 15m
</t>
  </si>
  <si>
    <t>T-261072</t>
  </si>
  <si>
    <t xml:space="preserve"> 11kv cable fault trenching 6m  plus 1 coil box ,4 join boxes and spoil diaposal
</t>
  </si>
  <si>
    <t>T-261073</t>
  </si>
  <si>
    <t xml:space="preserve">11 Kv cable trenching 42m on hard ground with rocks (15(1.3/0.9) plus 2 coil boxes, 2 join boxes, cable redrumming 50m
cable laying 50m, road crossing 17m on tarred road Ardbenie rd(17m*1.3m) ,3 ductsand  council permit ( Ardbenie rd)
</t>
  </si>
  <si>
    <t>T-261074</t>
  </si>
  <si>
    <t xml:space="preserve">33 Kv 3 cole XLPE cable recovery 195m  and cable redrumming 195m
</t>
  </si>
  <si>
    <t>Opps</t>
  </si>
  <si>
    <t>T-2610100</t>
  </si>
  <si>
    <t>T-2610101</t>
  </si>
  <si>
    <t>T-2610102</t>
  </si>
  <si>
    <t>T-2610103</t>
  </si>
  <si>
    <t>T-2610104</t>
  </si>
  <si>
    <t>T-2610105</t>
  </si>
  <si>
    <t>T-2610106</t>
  </si>
  <si>
    <t>T-2610107</t>
  </si>
  <si>
    <t>T-2610108</t>
  </si>
  <si>
    <t>T-2610109</t>
  </si>
  <si>
    <t>T-2610110</t>
  </si>
  <si>
    <t>T-2610111</t>
  </si>
  <si>
    <t>T-2610112</t>
  </si>
  <si>
    <t>T-2610113</t>
  </si>
  <si>
    <t>T-2610114</t>
  </si>
  <si>
    <t>T-2610115</t>
  </si>
  <si>
    <t>T-261075</t>
  </si>
  <si>
    <t>11 Kv cable fault trenching  5m plus 2 coil boxes and  1 join box</t>
  </si>
  <si>
    <t>T-261076</t>
  </si>
  <si>
    <t>11 Kv cable fault trenching  6m plus 1 coil box  and  1 join box</t>
  </si>
  <si>
    <t>T-261077</t>
  </si>
  <si>
    <t xml:space="preserve">Mv cable fault trenching 16m plus 1 coil box  and 1 join box </t>
  </si>
  <si>
    <t>T-261078</t>
  </si>
  <si>
    <t xml:space="preserve">11 Kv fault trenching 10m 12*(1/0.9) plus1 join box and 1 coil box  </t>
  </si>
  <si>
    <t>T-261079</t>
  </si>
  <si>
    <t xml:space="preserve">Mv  cable fault trenching 10m plus 2 join boxes </t>
  </si>
  <si>
    <t>T-2610116</t>
  </si>
  <si>
    <t>Mv cable trenching 35m plus 1 coil box and Cable laying  40m</t>
  </si>
  <si>
    <t>T-2610117</t>
  </si>
  <si>
    <t>Mv service cable trenching 18m on hard ground with tar  plus spoil disposal</t>
  </si>
  <si>
    <t>T-2610118</t>
  </si>
  <si>
    <t xml:space="preserve">Mv cable fault trenching 8m   plus 1 join box </t>
  </si>
  <si>
    <t>T-2610119</t>
  </si>
  <si>
    <t xml:space="preserve">Mv cable fault trenching 1 join  </t>
  </si>
  <si>
    <t>T-2610120</t>
  </si>
  <si>
    <t>11 Kv cable fault trenching 13m plus 1 join box</t>
  </si>
  <si>
    <t>T-2610121</t>
  </si>
  <si>
    <t xml:space="preserve">Service cable trenching 10m  plus 1 coil  box  and 1 join box </t>
  </si>
  <si>
    <t>T-2610122</t>
  </si>
  <si>
    <t>Mv cable fault trenching 5m plus 1 join box  [12.75x(2m/0.45m)] and 1 coil box</t>
  </si>
  <si>
    <t>T-2610123</t>
  </si>
  <si>
    <t xml:space="preserve">Mv cable fault trenching 5m plus 1 join box  </t>
  </si>
  <si>
    <t>T-2610124</t>
  </si>
  <si>
    <t>11 Kv pilot 18 holes</t>
  </si>
  <si>
    <t>T-2610125</t>
  </si>
  <si>
    <t>11 Kv cable fault trenching 11m plus 1 join box</t>
  </si>
  <si>
    <t>T-2610126</t>
  </si>
  <si>
    <t>Mv cable fault trenching 1 pilot hole on hard ground with gravel and spoil disposal</t>
  </si>
  <si>
    <t>T-2610127</t>
  </si>
  <si>
    <t>Mv cable fault trenching 1 pilot hole plus 1 staywire hole</t>
  </si>
  <si>
    <t>T-2610128</t>
  </si>
  <si>
    <t>Mv service cable trenching 10m plus 1 join box</t>
  </si>
  <si>
    <t>T-2610129</t>
  </si>
  <si>
    <t>11 Kv cable fault trenching 15m plus 2 join boxes, 3 coil box, cable redrumming 10m and cable laying 10m</t>
  </si>
  <si>
    <t>T-2610130</t>
  </si>
  <si>
    <t>Mv cable fault trenching 7m  plus 1 join box</t>
  </si>
  <si>
    <t>T-2610131</t>
  </si>
  <si>
    <t>11 Kv cable fault trenching 7m  1 coil box</t>
  </si>
  <si>
    <t>T-2610132</t>
  </si>
  <si>
    <t>11 Kv cable fault trenching 8m  plus 2 join box, slab removal 3m and spoil disposal</t>
  </si>
  <si>
    <t>T-2610133</t>
  </si>
  <si>
    <t>Mv cable trenching 15m</t>
  </si>
  <si>
    <t>T-2610134</t>
  </si>
  <si>
    <t>Mv cable trenching 40m</t>
  </si>
  <si>
    <t>T-2610135</t>
  </si>
  <si>
    <t>T-2610136</t>
  </si>
  <si>
    <t>Mv cable trenching 120m 1 coil box</t>
  </si>
  <si>
    <t>T-2610137</t>
  </si>
  <si>
    <t>Mv cable trenching 5m</t>
  </si>
  <si>
    <t>T-2610138</t>
  </si>
  <si>
    <t>Mv cable trenching 18m 1 join box</t>
  </si>
  <si>
    <t>T-2610139</t>
  </si>
  <si>
    <t>11 Kv 2 pole holes trenching</t>
  </si>
  <si>
    <t>T-2610140</t>
  </si>
  <si>
    <t xml:space="preserve">Mv 1 pole hole trenching </t>
  </si>
  <si>
    <t>T-2610141</t>
  </si>
  <si>
    <t>11 Kv cable fault trenching 40m on compacted ground with rocks (15x(1.3m/0.9m) plus 2 coil boxes and spoil disposal</t>
  </si>
  <si>
    <t>T-2610142</t>
  </si>
  <si>
    <t>Mv 1 stay hole trenching 6m</t>
  </si>
  <si>
    <t>T-2610143</t>
  </si>
  <si>
    <t>11 Kv cable trenching 7m  plus 1 coil box, cable redrumming 80m and cable laying 80m</t>
  </si>
  <si>
    <t>T-261080</t>
  </si>
  <si>
    <t xml:space="preserve">11 Kv cable fault trenching 10m  plus 2 coil boxes </t>
  </si>
  <si>
    <t>T-261081</t>
  </si>
  <si>
    <t>11 Kv cable fault trenching 11m plus 2 join boxes  and 1 coil box</t>
  </si>
  <si>
    <t>T-261082</t>
  </si>
  <si>
    <t>Mv cable fault trenching 35m plus 1 coil box</t>
  </si>
  <si>
    <t>T-261083</t>
  </si>
  <si>
    <t xml:space="preserve">Mv cable fault trenching 11m plus 2 join boxes </t>
  </si>
  <si>
    <t>T-261084</t>
  </si>
  <si>
    <t>11 Kv cable fault 10m and cable redruming 22m ,cable laying 22m and cable redrumming 18m</t>
  </si>
  <si>
    <t>T-261085</t>
  </si>
  <si>
    <t>Mv cable fault trenching on concrete ground 9m plus  1 join box  and spoil disposal</t>
  </si>
  <si>
    <t>T-261086</t>
  </si>
  <si>
    <t xml:space="preserve">11 Kv cable fault trenching 24m ,1 coil box ,2 join boxes and cable laying 10m </t>
  </si>
  <si>
    <t>T-261087</t>
  </si>
  <si>
    <t>Mv cable fault trenching 10m plus 1 join box ,Cable laying 20m and 1 coil box</t>
  </si>
  <si>
    <t>T-261088</t>
  </si>
  <si>
    <t xml:space="preserve">11 Kv cable fault trenching 15m plus 2 join boxes,1 coil box [12*(1m/.9m] and cable laying 18m </t>
  </si>
  <si>
    <t>T-261089</t>
  </si>
  <si>
    <t xml:space="preserve">11 Kv cable fault trenching  on hard ground with rocks and pavers 7m plus 2 join boxes  and spoil disposal </t>
  </si>
  <si>
    <t>T-261090</t>
  </si>
  <si>
    <t>Mv cable fault trenching  14m [10.20*(1m/0.45m) 2 join boxes , water drainage ( 15/0.6) cable laying 10m</t>
  </si>
  <si>
    <t>T-261091</t>
  </si>
  <si>
    <t xml:space="preserve">11 Kv cable redrumming  36m </t>
  </si>
  <si>
    <t>T-261092</t>
  </si>
  <si>
    <t xml:space="preserve">Mv pilot holes  3 holes  plus  1 Stay  hole </t>
  </si>
  <si>
    <t>T-261093</t>
  </si>
  <si>
    <t>33 Kv cable fault trenching  11m 33 Kv cable fault trenching on hard surface with tar  7m and Cable laying 18m</t>
  </si>
  <si>
    <t xml:space="preserve"> OPPS</t>
  </si>
  <si>
    <t>T-261094</t>
  </si>
  <si>
    <t>33 Kv cable fault trenching on concrete slab  20m  plus Cable laying 45m and</t>
  </si>
  <si>
    <t>T-261095</t>
  </si>
  <si>
    <t>11 Kv cable trenching on hard rocky ground  425m plus 4 coil boxes ,Duct laying 8, Driveway crossing 3m on tar,Cable laying and Cable redrumming 600m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</si>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</sst>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US$&quot;* #,##0.00_-;\-&quot;US$&quot;* #,##0.00_-;_-&quot;US$&quot;* &quot;-&quot;??_-;_-@_-"/>
    <numFmt numFmtId="164" formatCode="dd/mm/yyyy;@"/>
    <numFmt numFmtId="165" formatCode="_-[$$-C09]* #,##0.00_-;\-[$$-C09]* #,##0.00_-;_-[$$-C09]* &quot;-&quot;??_-;_-@_-"/>
    <numFmt numFmtId="166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i/>
      <sz val="18"/>
      <color theme="1"/>
      <name val="Calibri"/>
      <family val="2"/>
      <scheme val="minor"/>
    </font>
    <font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165" fontId="2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0" applyFont="1"/>
    <xf numFmtId="16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5" fontId="6" fillId="0" borderId="1" xfId="1" applyNumberFormat="1" applyFont="1" applyBorder="1" applyAlignment="1">
      <alignment horizontal="right"/>
    </xf>
    <xf numFmtId="0" fontId="6" fillId="0" borderId="0" xfId="0" applyFont="1"/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right"/>
    </xf>
    <xf numFmtId="0" fontId="2" fillId="2" borderId="0" xfId="0" applyFont="1" applyFill="1"/>
    <xf numFmtId="165" fontId="2" fillId="2" borderId="2" xfId="1" applyNumberFormat="1" applyFont="1" applyFill="1" applyBorder="1" applyAlignment="1">
      <alignment horizontal="right"/>
    </xf>
    <xf numFmtId="165" fontId="2" fillId="2" borderId="0" xfId="0" applyNumberFormat="1" applyFont="1" applyFill="1"/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5" fontId="2" fillId="0" borderId="2" xfId="1" applyNumberFormat="1" applyFont="1" applyBorder="1" applyAlignment="1">
      <alignment horizontal="right"/>
    </xf>
    <xf numFmtId="0" fontId="7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5" fontId="4" fillId="0" borderId="4" xfId="0" applyNumberFormat="1" applyFont="1" applyBorder="1" applyAlignment="1">
      <alignment horizontal="right"/>
    </xf>
    <xf numFmtId="165" fontId="2" fillId="0" borderId="0" xfId="0" applyNumberFormat="1" applyFont="1"/>
    <xf numFmtId="164" fontId="4" fillId="0" borderId="0" xfId="0" applyNumberFormat="1" applyFont="1" applyAlignment="1">
      <alignment horizontal="center" vertical="center"/>
    </xf>
    <xf numFmtId="0" fontId="8" fillId="0" borderId="1" xfId="0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3811</xdr:colOff>
      <xdr:row>0</xdr:row>
      <xdr:rowOff>62867</xdr:rowOff>
    </xdr:from>
    <xdr:ext cx="9696449" cy="242125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1" y="62867"/>
          <a:ext cx="9696449" cy="242125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October%20East%20Statement%2005.10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010001"/>
      <sheetName val="T010002"/>
      <sheetName val="T010003"/>
      <sheetName val="T010004"/>
      <sheetName val="T010005"/>
      <sheetName val="T010006"/>
      <sheetName val="T010007"/>
      <sheetName val="T010008"/>
      <sheetName val="T010009"/>
      <sheetName val="T0910010"/>
      <sheetName val="T0910011"/>
      <sheetName val="T010012"/>
      <sheetName val="T-261013"/>
      <sheetName val="T-261014"/>
      <sheetName val="T-261015"/>
      <sheetName val="T-261016"/>
      <sheetName val="T-261017"/>
      <sheetName val="T-261018"/>
      <sheetName val="T-261019"/>
      <sheetName val="T-261020"/>
      <sheetName val="T-261021"/>
      <sheetName val="T-261022"/>
      <sheetName val="T-261023"/>
      <sheetName val="T-261024"/>
      <sheetName val="T-261025"/>
      <sheetName val="T-261026"/>
      <sheetName val="T-261027"/>
      <sheetName val="Statememt"/>
      <sheetName val="T-261028"/>
      <sheetName val="T-261029"/>
      <sheetName val="T-261030"/>
      <sheetName val="T-261031"/>
      <sheetName val="T-261032"/>
      <sheetName val="T-261033"/>
      <sheetName val="T-261034"/>
      <sheetName val="T-261035"/>
      <sheetName val="T-261036"/>
      <sheetName val="T-261037"/>
      <sheetName val="T-261038"/>
      <sheetName val="T-261039"/>
      <sheetName val="T-2610105"/>
      <sheetName val="T-2610106"/>
      <sheetName val="T-2610107"/>
      <sheetName val="T-2610108"/>
      <sheetName val="T-26101010"/>
      <sheetName val="T-2610112"/>
      <sheetName val="T-2610113"/>
      <sheetName val="T-2610114"/>
      <sheetName val="T-2610115"/>
      <sheetName val="T-261040"/>
      <sheetName val="T-261041"/>
      <sheetName val="T-261042"/>
      <sheetName val="T-261043"/>
      <sheetName val="T-261044"/>
      <sheetName val="T-261045"/>
      <sheetName val="T-261046"/>
      <sheetName val="T-261047"/>
      <sheetName val="T-261048"/>
      <sheetName val="T-261049"/>
      <sheetName val="T-2610100"/>
      <sheetName val="T-2610101"/>
      <sheetName val="T-2610102"/>
      <sheetName val="T-2610103"/>
      <sheetName val="T-2610104"/>
      <sheetName val="T-2610109"/>
      <sheetName val="T-2610111"/>
    </sheetNames>
    <sheetDataSet>
      <sheetData sheetId="0">
        <row r="42">
          <cell r="F42">
            <v>381.15</v>
          </cell>
        </row>
      </sheetData>
      <sheetData sheetId="1">
        <row r="42">
          <cell r="F42">
            <v>363.82499999999999</v>
          </cell>
        </row>
      </sheetData>
      <sheetData sheetId="2">
        <row r="42">
          <cell r="F42">
            <v>173.25</v>
          </cell>
        </row>
      </sheetData>
      <sheetData sheetId="3">
        <row r="44">
          <cell r="F44">
            <v>68603.396399999998</v>
          </cell>
        </row>
      </sheetData>
      <sheetData sheetId="4">
        <row r="44">
          <cell r="F44">
            <v>185.95499999999998</v>
          </cell>
        </row>
      </sheetData>
      <sheetData sheetId="5">
        <row r="44">
          <cell r="F44">
            <v>1150.3800000000001</v>
          </cell>
        </row>
      </sheetData>
      <sheetData sheetId="6">
        <row r="44">
          <cell r="F44">
            <v>1288.98</v>
          </cell>
        </row>
      </sheetData>
      <sheetData sheetId="7">
        <row r="44">
          <cell r="F44">
            <v>117.81</v>
          </cell>
        </row>
      </sheetData>
      <sheetData sheetId="8">
        <row r="44">
          <cell r="F44">
            <v>117.81</v>
          </cell>
        </row>
      </sheetData>
      <sheetData sheetId="9">
        <row r="44">
          <cell r="F44">
            <v>221.76</v>
          </cell>
        </row>
      </sheetData>
      <sheetData sheetId="10">
        <row r="44">
          <cell r="F44">
            <v>116.88599999999998</v>
          </cell>
        </row>
      </sheetData>
      <sheetData sheetId="11">
        <row r="45">
          <cell r="F45">
            <v>2924.46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61"/>
  <sheetViews>
    <sheetView tabSelected="1" topLeftCell="A116" zoomScale="40" zoomScaleNormal="37" zoomScaleSheetLayoutView="50" workbookViewId="0">
      <selection activeCell="I132" sqref="I132"/>
    </sheetView>
  </sheetViews>
  <sheetFormatPr defaultColWidth="8.88671875" defaultRowHeight="23.4" x14ac:dyDescent="0.45"/>
  <cols>
    <col min="1" max="1" width="18.33203125" style="3" bestFit="1" customWidth="1"/>
    <col min="2" max="3" width="32.33203125" style="3" bestFit="1" customWidth="1"/>
    <col min="4" max="4" width="255.77734375" style="3" bestFit="1" customWidth="1"/>
    <col min="5" max="5" width="32.44140625" style="3" bestFit="1" customWidth="1"/>
    <col min="6" max="6" width="7.6640625" style="3" hidden="1" customWidth="1"/>
    <col min="7" max="7" width="16" style="3" hidden="1" customWidth="1"/>
    <col min="8" max="8" width="29.77734375" style="3" bestFit="1" customWidth="1"/>
    <col min="9" max="9" width="31.77734375" style="3" bestFit="1" customWidth="1"/>
    <col min="10" max="10" width="21.21875" style="3" bestFit="1" customWidth="1"/>
    <col min="11" max="11" width="8.88671875" style="3"/>
    <col min="12" max="12" width="16.109375" style="3" bestFit="1" customWidth="1"/>
    <col min="13" max="22" width="8.88671875" style="3"/>
    <col min="23" max="23" width="2.6640625" style="3" bestFit="1" customWidth="1"/>
    <col min="24" max="16384" width="8.88671875" style="3"/>
  </cols>
  <sheetData>
    <row r="1" spans="1:23" x14ac:dyDescent="0.45">
      <c r="A1" s="1"/>
      <c r="B1" s="2"/>
      <c r="C1" s="2"/>
      <c r="H1" s="2"/>
      <c r="I1" s="4"/>
    </row>
    <row r="2" spans="1:23" ht="28.8" x14ac:dyDescent="0.55000000000000004">
      <c r="A2" s="1"/>
      <c r="B2" s="2"/>
      <c r="C2" s="2"/>
      <c r="H2" s="5" t="s">
        <v>28</v>
      </c>
      <c r="I2" s="6"/>
    </row>
    <row r="3" spans="1:23" ht="28.8" x14ac:dyDescent="0.55000000000000004">
      <c r="A3" s="1"/>
      <c r="B3" s="2"/>
      <c r="C3" s="2"/>
      <c r="H3" s="7"/>
      <c r="I3" s="4"/>
    </row>
    <row r="4" spans="1:23" x14ac:dyDescent="0.45">
      <c r="A4" s="1"/>
      <c r="B4" s="2"/>
      <c r="C4" s="2"/>
      <c r="H4" s="34">
        <v>46314</v>
      </c>
      <c r="I4" s="6"/>
    </row>
    <row r="5" spans="1:23" ht="28.8" x14ac:dyDescent="0.55000000000000004">
      <c r="A5" s="1"/>
      <c r="B5" s="2"/>
      <c r="C5" s="2"/>
      <c r="E5" s="8"/>
      <c r="H5" s="7"/>
      <c r="I5" s="4"/>
    </row>
    <row r="6" spans="1:23" x14ac:dyDescent="0.45">
      <c r="A6" s="1"/>
      <c r="B6" s="2"/>
      <c r="C6" s="2"/>
      <c r="H6" s="2"/>
      <c r="I6" s="4"/>
    </row>
    <row r="7" spans="1:23" x14ac:dyDescent="0.45">
      <c r="A7" s="1"/>
      <c r="B7" s="2"/>
      <c r="C7" s="2"/>
      <c r="E7" s="9"/>
      <c r="H7" s="2"/>
      <c r="I7" s="4"/>
    </row>
    <row r="8" spans="1:23" x14ac:dyDescent="0.45">
      <c r="A8" s="1"/>
      <c r="B8" s="2"/>
      <c r="C8" s="2"/>
      <c r="H8" s="2"/>
      <c r="I8" s="4"/>
    </row>
    <row r="9" spans="1:23" s="15" customFormat="1" ht="22.8" x14ac:dyDescent="0.4">
      <c r="A9" s="10" t="s">
        <v>0</v>
      </c>
      <c r="B9" s="11" t="s">
        <v>1</v>
      </c>
      <c r="C9" s="11" t="s">
        <v>1</v>
      </c>
      <c r="D9" s="12" t="s">
        <v>2</v>
      </c>
      <c r="E9" s="12" t="s">
        <v>3</v>
      </c>
      <c r="F9" s="12" t="s">
        <v>4</v>
      </c>
      <c r="G9" s="12" t="s">
        <v>5</v>
      </c>
      <c r="H9" s="13" t="s">
        <v>6</v>
      </c>
      <c r="I9" s="14" t="s">
        <v>7</v>
      </c>
      <c r="W9" s="15" t="s">
        <v>8</v>
      </c>
    </row>
    <row r="10" spans="1:23" s="21" customFormat="1" x14ac:dyDescent="0.45">
      <c r="A10" s="16">
        <v>46300</v>
      </c>
      <c r="B10" s="17">
        <v>1</v>
      </c>
      <c r="C10" s="17" t="s">
        <v>41</v>
      </c>
      <c r="D10" s="18" t="s">
        <v>9</v>
      </c>
      <c r="E10" s="18" t="s">
        <v>10</v>
      </c>
      <c r="F10" s="18"/>
      <c r="G10" s="18"/>
      <c r="H10" s="19">
        <v>5167</v>
      </c>
      <c r="I10" s="20">
        <f>+[1]T010001!F42</f>
        <v>381.15</v>
      </c>
    </row>
    <row r="11" spans="1:23" s="21" customFormat="1" x14ac:dyDescent="0.45">
      <c r="A11" s="16">
        <v>46300</v>
      </c>
      <c r="B11" s="17">
        <v>2</v>
      </c>
      <c r="C11" s="17" t="s">
        <v>42</v>
      </c>
      <c r="D11" s="18" t="s">
        <v>11</v>
      </c>
      <c r="E11" s="18" t="s">
        <v>12</v>
      </c>
      <c r="F11" s="18"/>
      <c r="G11" s="18"/>
      <c r="H11" s="19">
        <v>4144</v>
      </c>
      <c r="I11" s="22">
        <f>+[1]T010002!F42</f>
        <v>363.82499999999999</v>
      </c>
    </row>
    <row r="12" spans="1:23" s="21" customFormat="1" x14ac:dyDescent="0.45">
      <c r="A12" s="16">
        <v>46300</v>
      </c>
      <c r="B12" s="17">
        <v>3</v>
      </c>
      <c r="C12" s="17" t="s">
        <v>43</v>
      </c>
      <c r="D12" s="18" t="s">
        <v>13</v>
      </c>
      <c r="E12" s="18" t="s">
        <v>12</v>
      </c>
      <c r="F12" s="18"/>
      <c r="G12" s="18"/>
      <c r="H12" s="19">
        <v>5228</v>
      </c>
      <c r="I12" s="22">
        <f>+[1]T010003!F42</f>
        <v>173.25</v>
      </c>
    </row>
    <row r="13" spans="1:23" s="21" customFormat="1" x14ac:dyDescent="0.45">
      <c r="A13" s="16">
        <v>46300</v>
      </c>
      <c r="B13" s="17">
        <v>4</v>
      </c>
      <c r="C13" s="17" t="s">
        <v>44</v>
      </c>
      <c r="D13" s="18" t="s">
        <v>14</v>
      </c>
      <c r="E13" s="18" t="s">
        <v>12</v>
      </c>
      <c r="F13" s="18"/>
      <c r="G13" s="18"/>
      <c r="H13" s="19">
        <v>5226</v>
      </c>
      <c r="I13" s="22">
        <f>+[1]T010004!F44</f>
        <v>68603.396399999998</v>
      </c>
      <c r="J13" s="23"/>
    </row>
    <row r="14" spans="1:23" s="21" customFormat="1" x14ac:dyDescent="0.45">
      <c r="A14" s="16">
        <v>46300</v>
      </c>
      <c r="B14" s="17">
        <v>5</v>
      </c>
      <c r="C14" s="17" t="s">
        <v>45</v>
      </c>
      <c r="D14" s="18" t="s">
        <v>15</v>
      </c>
      <c r="E14" s="18" t="s">
        <v>12</v>
      </c>
      <c r="F14" s="18"/>
      <c r="G14" s="18"/>
      <c r="H14" s="19">
        <v>5227</v>
      </c>
      <c r="I14" s="22">
        <f>+[1]T010005!F44</f>
        <v>185.95499999999998</v>
      </c>
      <c r="J14" s="23"/>
    </row>
    <row r="15" spans="1:23" s="21" customFormat="1" x14ac:dyDescent="0.45">
      <c r="A15" s="16">
        <v>46300</v>
      </c>
      <c r="B15" s="17">
        <v>6</v>
      </c>
      <c r="C15" s="17" t="s">
        <v>46</v>
      </c>
      <c r="D15" s="18" t="s">
        <v>16</v>
      </c>
      <c r="E15" s="18" t="s">
        <v>17</v>
      </c>
      <c r="F15" s="18"/>
      <c r="G15" s="18"/>
      <c r="H15" s="19">
        <v>4689</v>
      </c>
      <c r="I15" s="22">
        <f>+[1]T010006!F44</f>
        <v>1150.3800000000001</v>
      </c>
      <c r="J15" s="23"/>
    </row>
    <row r="16" spans="1:23" s="21" customFormat="1" x14ac:dyDescent="0.45">
      <c r="A16" s="16">
        <v>46300</v>
      </c>
      <c r="B16" s="17">
        <v>7</v>
      </c>
      <c r="C16" s="17" t="s">
        <v>47</v>
      </c>
      <c r="D16" s="18" t="s">
        <v>18</v>
      </c>
      <c r="E16" s="18" t="s">
        <v>17</v>
      </c>
      <c r="F16" s="18"/>
      <c r="G16" s="18"/>
      <c r="H16" s="19">
        <v>4691</v>
      </c>
      <c r="I16" s="22">
        <f>+[1]T010007!F44</f>
        <v>1288.98</v>
      </c>
      <c r="J16" s="23"/>
    </row>
    <row r="17" spans="1:19" s="21" customFormat="1" x14ac:dyDescent="0.45">
      <c r="A17" s="16">
        <v>46300</v>
      </c>
      <c r="B17" s="17">
        <v>8</v>
      </c>
      <c r="C17" s="17" t="s">
        <v>48</v>
      </c>
      <c r="D17" s="18" t="s">
        <v>19</v>
      </c>
      <c r="E17" s="18" t="s">
        <v>20</v>
      </c>
      <c r="F17" s="18"/>
      <c r="G17" s="18"/>
      <c r="H17" s="19">
        <v>3961</v>
      </c>
      <c r="I17" s="22">
        <f>+[1]T010008!F44</f>
        <v>117.81</v>
      </c>
      <c r="J17" s="36"/>
      <c r="K17" s="37"/>
      <c r="L17" s="37"/>
      <c r="M17" s="37"/>
      <c r="N17" s="37"/>
      <c r="O17" s="37"/>
      <c r="P17" s="37"/>
      <c r="Q17" s="37"/>
      <c r="R17" s="37"/>
      <c r="S17" s="37"/>
    </row>
    <row r="18" spans="1:19" s="21" customFormat="1" x14ac:dyDescent="0.45">
      <c r="A18" s="16">
        <v>46300</v>
      </c>
      <c r="B18" s="17">
        <v>9</v>
      </c>
      <c r="C18" s="17" t="s">
        <v>49</v>
      </c>
      <c r="D18" s="18" t="s">
        <v>21</v>
      </c>
      <c r="E18" s="18" t="s">
        <v>22</v>
      </c>
      <c r="F18" s="18"/>
      <c r="G18" s="18"/>
      <c r="H18" s="19">
        <v>5263</v>
      </c>
      <c r="I18" s="22">
        <f>+[1]T010009!F44</f>
        <v>117.81</v>
      </c>
      <c r="J18" s="3"/>
      <c r="K18" s="15"/>
    </row>
    <row r="19" spans="1:19" s="21" customFormat="1" x14ac:dyDescent="0.45">
      <c r="A19" s="16">
        <v>46300</v>
      </c>
      <c r="B19" s="17">
        <v>10</v>
      </c>
      <c r="C19" s="17" t="s">
        <v>50</v>
      </c>
      <c r="D19" s="18" t="s">
        <v>23</v>
      </c>
      <c r="E19" s="18" t="s">
        <v>22</v>
      </c>
      <c r="F19" s="18"/>
      <c r="G19" s="18"/>
      <c r="H19" s="19">
        <v>5225</v>
      </c>
      <c r="I19" s="22">
        <f>+[1]T0910010!F44</f>
        <v>221.76</v>
      </c>
      <c r="J19" s="3"/>
      <c r="K19" s="15"/>
    </row>
    <row r="20" spans="1:19" s="21" customFormat="1" x14ac:dyDescent="0.45">
      <c r="A20" s="16">
        <v>46300</v>
      </c>
      <c r="B20" s="17">
        <v>11</v>
      </c>
      <c r="C20" s="17" t="s">
        <v>51</v>
      </c>
      <c r="D20" s="18" t="s">
        <v>24</v>
      </c>
      <c r="E20" s="18" t="s">
        <v>22</v>
      </c>
      <c r="F20" s="18"/>
      <c r="G20" s="18"/>
      <c r="H20" s="19">
        <v>5268</v>
      </c>
      <c r="I20" s="22">
        <f>+[1]T0910011!F44</f>
        <v>116.88599999999998</v>
      </c>
      <c r="J20" s="23"/>
    </row>
    <row r="21" spans="1:19" s="21" customFormat="1" x14ac:dyDescent="0.45">
      <c r="A21" s="16">
        <v>46300</v>
      </c>
      <c r="B21" s="17">
        <v>12</v>
      </c>
      <c r="C21" s="17" t="s">
        <v>52</v>
      </c>
      <c r="D21" s="18" t="s">
        <v>25</v>
      </c>
      <c r="E21" s="18" t="s">
        <v>22</v>
      </c>
      <c r="F21" s="18"/>
      <c r="G21" s="18"/>
      <c r="H21" s="19" t="s">
        <v>26</v>
      </c>
      <c r="I21" s="22">
        <f>+[1]T010012!F45</f>
        <v>2924.46</v>
      </c>
      <c r="J21" s="23"/>
    </row>
    <row r="22" spans="1:19" s="21" customFormat="1" x14ac:dyDescent="0.45">
      <c r="A22" s="16">
        <v>46297</v>
      </c>
      <c r="B22" s="17">
        <v>13</v>
      </c>
      <c r="C22" s="17" t="s">
        <v>53</v>
      </c>
      <c r="D22" s="18" t="s">
        <v>29</v>
      </c>
      <c r="E22" s="18" t="s">
        <v>30</v>
      </c>
      <c r="F22" s="18"/>
      <c r="G22" s="18"/>
      <c r="H22" s="19">
        <v>5029</v>
      </c>
      <c r="I22" s="22">
        <v>346.5</v>
      </c>
      <c r="J22" s="23"/>
    </row>
    <row r="23" spans="1:19" s="21" customFormat="1" x14ac:dyDescent="0.45">
      <c r="A23" s="16">
        <v>46300</v>
      </c>
      <c r="B23" s="17">
        <v>14</v>
      </c>
      <c r="C23" s="17" t="s">
        <v>54</v>
      </c>
      <c r="D23" s="18" t="s">
        <v>31</v>
      </c>
      <c r="E23" s="18" t="s">
        <v>30</v>
      </c>
      <c r="F23" s="18"/>
      <c r="G23" s="18"/>
      <c r="H23" s="19">
        <v>5031</v>
      </c>
      <c r="I23" s="22">
        <v>180.18</v>
      </c>
      <c r="J23" s="23"/>
    </row>
    <row r="24" spans="1:19" s="21" customFormat="1" x14ac:dyDescent="0.45">
      <c r="A24" s="16">
        <v>46300</v>
      </c>
      <c r="B24" s="17">
        <v>15</v>
      </c>
      <c r="C24" s="17" t="s">
        <v>55</v>
      </c>
      <c r="D24" s="18" t="s">
        <v>32</v>
      </c>
      <c r="E24" s="18" t="s">
        <v>30</v>
      </c>
      <c r="F24" s="18"/>
      <c r="G24" s="18"/>
      <c r="H24" s="19">
        <v>5032</v>
      </c>
      <c r="I24" s="22">
        <v>369.6</v>
      </c>
      <c r="J24" s="23"/>
    </row>
    <row r="25" spans="1:19" s="21" customFormat="1" x14ac:dyDescent="0.45">
      <c r="A25" s="16">
        <v>46300</v>
      </c>
      <c r="B25" s="17">
        <v>16</v>
      </c>
      <c r="C25" s="17" t="s">
        <v>56</v>
      </c>
      <c r="D25" s="18" t="s">
        <v>33</v>
      </c>
      <c r="E25" s="18" t="s">
        <v>34</v>
      </c>
      <c r="F25" s="18"/>
      <c r="G25" s="18"/>
      <c r="H25" s="19">
        <v>3586</v>
      </c>
      <c r="I25" s="22">
        <v>279.97199999999998</v>
      </c>
      <c r="J25" s="23"/>
    </row>
    <row r="26" spans="1:19" s="21" customFormat="1" x14ac:dyDescent="0.45">
      <c r="A26" s="16">
        <v>46300</v>
      </c>
      <c r="B26" s="17">
        <v>17</v>
      </c>
      <c r="C26" s="17" t="s">
        <v>57</v>
      </c>
      <c r="D26" s="18" t="s">
        <v>35</v>
      </c>
      <c r="E26" s="18" t="s">
        <v>34</v>
      </c>
      <c r="F26" s="18"/>
      <c r="G26" s="18"/>
      <c r="H26" s="19">
        <v>4954</v>
      </c>
      <c r="I26" s="22">
        <v>582.12</v>
      </c>
      <c r="J26" s="23"/>
    </row>
    <row r="27" spans="1:19" s="21" customFormat="1" x14ac:dyDescent="0.45">
      <c r="A27" s="16">
        <v>46300</v>
      </c>
      <c r="B27" s="17">
        <v>18</v>
      </c>
      <c r="C27" s="17" t="s">
        <v>58</v>
      </c>
      <c r="D27" s="18" t="s">
        <v>36</v>
      </c>
      <c r="E27" s="18" t="s">
        <v>34</v>
      </c>
      <c r="F27" s="18"/>
      <c r="G27" s="18"/>
      <c r="H27" s="19">
        <v>4953</v>
      </c>
      <c r="I27" s="22">
        <v>263.33999999999997</v>
      </c>
      <c r="J27" s="23"/>
    </row>
    <row r="28" spans="1:19" s="21" customFormat="1" x14ac:dyDescent="0.45">
      <c r="A28" s="16">
        <v>46300</v>
      </c>
      <c r="B28" s="17">
        <v>19</v>
      </c>
      <c r="C28" s="17" t="s">
        <v>59</v>
      </c>
      <c r="D28" s="18" t="s">
        <v>37</v>
      </c>
      <c r="E28" s="18" t="s">
        <v>34</v>
      </c>
      <c r="F28" s="18"/>
      <c r="G28" s="18"/>
      <c r="H28" s="19">
        <v>4545</v>
      </c>
      <c r="I28" s="22">
        <v>346.5</v>
      </c>
      <c r="J28" s="23"/>
    </row>
    <row r="29" spans="1:19" s="21" customFormat="1" x14ac:dyDescent="0.45">
      <c r="A29" s="16">
        <v>46300</v>
      </c>
      <c r="B29" s="17">
        <v>20</v>
      </c>
      <c r="C29" s="17" t="s">
        <v>60</v>
      </c>
      <c r="D29" s="18" t="s">
        <v>38</v>
      </c>
      <c r="E29" s="18" t="s">
        <v>39</v>
      </c>
      <c r="F29" s="18"/>
      <c r="G29" s="18"/>
      <c r="H29" s="19">
        <v>4470</v>
      </c>
      <c r="I29" s="22">
        <v>291.06</v>
      </c>
      <c r="J29" s="23"/>
    </row>
    <row r="30" spans="1:19" s="21" customFormat="1" x14ac:dyDescent="0.45">
      <c r="A30" s="16">
        <v>46300</v>
      </c>
      <c r="B30" s="17">
        <v>21</v>
      </c>
      <c r="C30" s="17" t="s">
        <v>61</v>
      </c>
      <c r="D30" s="18" t="s">
        <v>40</v>
      </c>
      <c r="E30" s="18" t="s">
        <v>39</v>
      </c>
      <c r="F30" s="18"/>
      <c r="G30" s="18"/>
      <c r="H30" s="19">
        <v>4472</v>
      </c>
      <c r="I30" s="22">
        <v>3502.422</v>
      </c>
      <c r="J30" s="23"/>
    </row>
    <row r="31" spans="1:19" s="21" customFormat="1" x14ac:dyDescent="0.45">
      <c r="A31" s="16">
        <v>46302</v>
      </c>
      <c r="B31" s="17">
        <v>22</v>
      </c>
      <c r="C31" s="17" t="s">
        <v>62</v>
      </c>
      <c r="D31" s="18" t="s">
        <v>63</v>
      </c>
      <c r="E31" s="18" t="s">
        <v>22</v>
      </c>
      <c r="F31" s="18"/>
      <c r="G31" s="18"/>
      <c r="H31" s="19">
        <v>5271</v>
      </c>
      <c r="I31" s="22">
        <v>247.40099999999998</v>
      </c>
      <c r="J31" s="23"/>
    </row>
    <row r="32" spans="1:19" s="21" customFormat="1" x14ac:dyDescent="0.45">
      <c r="A32" s="16">
        <v>46302</v>
      </c>
      <c r="B32" s="17">
        <v>23</v>
      </c>
      <c r="C32" s="17" t="s">
        <v>64</v>
      </c>
      <c r="D32" s="18" t="s">
        <v>65</v>
      </c>
      <c r="E32" s="18" t="s">
        <v>22</v>
      </c>
      <c r="F32" s="18"/>
      <c r="G32" s="18"/>
      <c r="H32" s="19">
        <v>5272</v>
      </c>
      <c r="I32" s="22">
        <v>161.69999999999999</v>
      </c>
      <c r="J32" s="23"/>
    </row>
    <row r="33" spans="1:10" s="21" customFormat="1" x14ac:dyDescent="0.45">
      <c r="A33" s="16">
        <v>46302</v>
      </c>
      <c r="B33" s="17">
        <v>24</v>
      </c>
      <c r="C33" s="17" t="s">
        <v>66</v>
      </c>
      <c r="D33" s="18" t="s">
        <v>67</v>
      </c>
      <c r="E33" s="18" t="s">
        <v>10</v>
      </c>
      <c r="F33" s="18"/>
      <c r="G33" s="18"/>
      <c r="H33" s="19">
        <v>5168</v>
      </c>
      <c r="I33" s="22">
        <v>242.55</v>
      </c>
      <c r="J33" s="23"/>
    </row>
    <row r="34" spans="1:10" s="21" customFormat="1" x14ac:dyDescent="0.45">
      <c r="A34" s="16">
        <v>46302</v>
      </c>
      <c r="B34" s="17">
        <v>25</v>
      </c>
      <c r="C34" s="17" t="s">
        <v>68</v>
      </c>
      <c r="D34" s="18" t="s">
        <v>69</v>
      </c>
      <c r="E34" s="18" t="s">
        <v>10</v>
      </c>
      <c r="F34" s="18"/>
      <c r="G34" s="18"/>
      <c r="H34" s="19">
        <v>5171</v>
      </c>
      <c r="I34" s="22">
        <v>265.07249999999999</v>
      </c>
      <c r="J34" s="23"/>
    </row>
    <row r="35" spans="1:10" s="21" customFormat="1" x14ac:dyDescent="0.45">
      <c r="A35" s="16">
        <v>46302</v>
      </c>
      <c r="B35" s="17">
        <v>26</v>
      </c>
      <c r="C35" s="17" t="s">
        <v>70</v>
      </c>
      <c r="D35" s="18" t="s">
        <v>71</v>
      </c>
      <c r="E35" s="18" t="s">
        <v>10</v>
      </c>
      <c r="F35" s="18"/>
      <c r="G35" s="18"/>
      <c r="H35" s="19">
        <v>5169</v>
      </c>
      <c r="I35" s="22">
        <v>191.44125</v>
      </c>
      <c r="J35" s="23"/>
    </row>
    <row r="36" spans="1:10" s="21" customFormat="1" x14ac:dyDescent="0.45">
      <c r="A36" s="16">
        <v>46302</v>
      </c>
      <c r="B36" s="17">
        <v>27</v>
      </c>
      <c r="C36" s="17" t="s">
        <v>72</v>
      </c>
      <c r="D36" s="18" t="s">
        <v>73</v>
      </c>
      <c r="E36" s="18" t="s">
        <v>17</v>
      </c>
      <c r="F36" s="18"/>
      <c r="G36" s="18"/>
      <c r="H36" s="19">
        <v>4694</v>
      </c>
      <c r="I36" s="22">
        <v>665.28</v>
      </c>
      <c r="J36" s="23"/>
    </row>
    <row r="37" spans="1:10" s="21" customFormat="1" x14ac:dyDescent="0.45">
      <c r="A37" s="16">
        <v>46302</v>
      </c>
      <c r="B37" s="17">
        <v>28</v>
      </c>
      <c r="C37" s="17" t="s">
        <v>74</v>
      </c>
      <c r="D37" s="18" t="s">
        <v>75</v>
      </c>
      <c r="E37" s="18" t="s">
        <v>10</v>
      </c>
      <c r="F37" s="18"/>
      <c r="G37" s="18"/>
      <c r="H37" s="19">
        <v>5172</v>
      </c>
      <c r="I37" s="22">
        <v>147.26249999999999</v>
      </c>
      <c r="J37" s="23"/>
    </row>
    <row r="38" spans="1:10" s="21" customFormat="1" x14ac:dyDescent="0.45">
      <c r="A38" s="16">
        <v>46302</v>
      </c>
      <c r="B38" s="17">
        <v>29</v>
      </c>
      <c r="C38" s="17" t="s">
        <v>76</v>
      </c>
      <c r="D38" s="18" t="s">
        <v>77</v>
      </c>
      <c r="E38" s="18" t="s">
        <v>10</v>
      </c>
      <c r="F38" s="18"/>
      <c r="G38" s="18"/>
      <c r="H38" s="19">
        <v>5170</v>
      </c>
      <c r="I38" s="22">
        <v>259.875</v>
      </c>
      <c r="J38" s="23"/>
    </row>
    <row r="39" spans="1:10" s="21" customFormat="1" x14ac:dyDescent="0.45">
      <c r="A39" s="16">
        <v>46302</v>
      </c>
      <c r="B39" s="17">
        <v>30</v>
      </c>
      <c r="C39" s="17" t="s">
        <v>78</v>
      </c>
      <c r="D39" s="18" t="s">
        <v>79</v>
      </c>
      <c r="E39" s="18" t="s">
        <v>12</v>
      </c>
      <c r="F39" s="18"/>
      <c r="G39" s="18"/>
      <c r="H39" s="19">
        <v>5113</v>
      </c>
      <c r="I39" s="22">
        <v>623.70000000000005</v>
      </c>
      <c r="J39" s="23"/>
    </row>
    <row r="40" spans="1:10" s="21" customFormat="1" x14ac:dyDescent="0.45">
      <c r="A40" s="16">
        <v>46302</v>
      </c>
      <c r="B40" s="17">
        <v>31</v>
      </c>
      <c r="C40" s="17" t="s">
        <v>80</v>
      </c>
      <c r="D40" s="18" t="s">
        <v>81</v>
      </c>
      <c r="E40" s="18" t="s">
        <v>12</v>
      </c>
      <c r="F40" s="18"/>
      <c r="G40" s="18"/>
      <c r="H40" s="19">
        <v>5112</v>
      </c>
      <c r="I40" s="22">
        <v>235.62</v>
      </c>
      <c r="J40" s="23"/>
    </row>
    <row r="41" spans="1:10" s="21" customFormat="1" x14ac:dyDescent="0.45">
      <c r="A41" s="16">
        <v>46302</v>
      </c>
      <c r="B41" s="17">
        <v>32</v>
      </c>
      <c r="C41" s="17" t="s">
        <v>82</v>
      </c>
      <c r="D41" s="18" t="s">
        <v>81</v>
      </c>
      <c r="E41" s="18" t="s">
        <v>12</v>
      </c>
      <c r="F41" s="18"/>
      <c r="G41" s="18"/>
      <c r="H41" s="19">
        <v>5231</v>
      </c>
      <c r="I41" s="22">
        <v>235.62</v>
      </c>
      <c r="J41" s="23"/>
    </row>
    <row r="42" spans="1:10" s="21" customFormat="1" x14ac:dyDescent="0.45">
      <c r="A42" s="16">
        <v>46302</v>
      </c>
      <c r="B42" s="17">
        <v>33</v>
      </c>
      <c r="C42" s="17" t="s">
        <v>83</v>
      </c>
      <c r="D42" s="18" t="s">
        <v>84</v>
      </c>
      <c r="E42" s="18" t="s">
        <v>20</v>
      </c>
      <c r="F42" s="18"/>
      <c r="G42" s="18"/>
      <c r="H42" s="19">
        <v>4690</v>
      </c>
      <c r="I42" s="22">
        <v>796.95</v>
      </c>
      <c r="J42" s="23"/>
    </row>
    <row r="43" spans="1:10" s="21" customFormat="1" x14ac:dyDescent="0.45">
      <c r="A43" s="16">
        <v>46302</v>
      </c>
      <c r="B43" s="17">
        <v>34</v>
      </c>
      <c r="C43" s="17" t="s">
        <v>85</v>
      </c>
      <c r="D43" s="18" t="s">
        <v>86</v>
      </c>
      <c r="E43" s="18" t="s">
        <v>20</v>
      </c>
      <c r="F43" s="18"/>
      <c r="G43" s="18"/>
      <c r="H43" s="19">
        <v>4693</v>
      </c>
      <c r="I43" s="22">
        <v>138.6</v>
      </c>
      <c r="J43" s="23"/>
    </row>
    <row r="44" spans="1:10" s="21" customFormat="1" x14ac:dyDescent="0.45">
      <c r="A44" s="16">
        <v>46303</v>
      </c>
      <c r="B44" s="17">
        <v>35</v>
      </c>
      <c r="C44" s="17" t="s">
        <v>87</v>
      </c>
      <c r="D44" s="18" t="s">
        <v>88</v>
      </c>
      <c r="E44" s="18" t="s">
        <v>12</v>
      </c>
      <c r="F44" s="18"/>
      <c r="G44" s="18"/>
      <c r="H44" s="19">
        <v>5234</v>
      </c>
      <c r="I44" s="22">
        <v>13404.352500000001</v>
      </c>
      <c r="J44" s="23"/>
    </row>
    <row r="45" spans="1:10" s="21" customFormat="1" x14ac:dyDescent="0.45">
      <c r="A45" s="16">
        <v>46303</v>
      </c>
      <c r="B45" s="17">
        <v>36</v>
      </c>
      <c r="C45" s="17" t="s">
        <v>89</v>
      </c>
      <c r="D45" s="18" t="s">
        <v>90</v>
      </c>
      <c r="E45" s="18" t="s">
        <v>22</v>
      </c>
      <c r="F45" s="18"/>
      <c r="G45" s="18"/>
      <c r="H45" s="19">
        <v>4762</v>
      </c>
      <c r="I45" s="22">
        <v>304.92</v>
      </c>
      <c r="J45" s="23"/>
    </row>
    <row r="46" spans="1:10" s="21" customFormat="1" x14ac:dyDescent="0.45">
      <c r="A46" s="16">
        <v>46303</v>
      </c>
      <c r="B46" s="17">
        <v>37</v>
      </c>
      <c r="C46" s="17" t="s">
        <v>91</v>
      </c>
      <c r="D46" s="18" t="s">
        <v>92</v>
      </c>
      <c r="E46" s="18" t="s">
        <v>93</v>
      </c>
      <c r="F46" s="18"/>
      <c r="G46" s="18"/>
      <c r="H46" s="19">
        <v>5232</v>
      </c>
      <c r="I46" s="22">
        <v>1501.5</v>
      </c>
      <c r="J46" s="23"/>
    </row>
    <row r="47" spans="1:10" s="21" customFormat="1" x14ac:dyDescent="0.45">
      <c r="A47" s="16">
        <v>46303</v>
      </c>
      <c r="B47" s="17">
        <v>38</v>
      </c>
      <c r="C47" s="17" t="s">
        <v>94</v>
      </c>
      <c r="D47" s="18" t="s">
        <v>95</v>
      </c>
      <c r="E47" s="18" t="s">
        <v>22</v>
      </c>
      <c r="F47" s="18"/>
      <c r="G47" s="18"/>
      <c r="H47" s="19">
        <v>4759</v>
      </c>
      <c r="I47" s="22">
        <v>291.06</v>
      </c>
      <c r="J47" s="23"/>
    </row>
    <row r="48" spans="1:10" s="21" customFormat="1" x14ac:dyDescent="0.45">
      <c r="A48" s="16">
        <v>46303</v>
      </c>
      <c r="B48" s="17">
        <v>39</v>
      </c>
      <c r="C48" s="17" t="s">
        <v>96</v>
      </c>
      <c r="D48" s="18" t="s">
        <v>97</v>
      </c>
      <c r="E48" s="18" t="s">
        <v>17</v>
      </c>
      <c r="F48" s="18"/>
      <c r="G48" s="18"/>
      <c r="H48" s="19">
        <v>4697</v>
      </c>
      <c r="I48" s="22">
        <v>1081.08</v>
      </c>
      <c r="J48" s="23"/>
    </row>
    <row r="49" spans="1:10" s="21" customFormat="1" x14ac:dyDescent="0.45">
      <c r="A49" s="16">
        <v>46304</v>
      </c>
      <c r="B49" s="17">
        <v>40</v>
      </c>
      <c r="C49" s="17" t="s">
        <v>98</v>
      </c>
      <c r="D49" s="18" t="s">
        <v>99</v>
      </c>
      <c r="E49" s="18" t="s">
        <v>20</v>
      </c>
      <c r="F49" s="18"/>
      <c r="G49" s="18"/>
      <c r="H49" s="19">
        <v>4699</v>
      </c>
      <c r="I49" s="22">
        <v>1940.4</v>
      </c>
      <c r="J49" s="23"/>
    </row>
    <row r="50" spans="1:10" s="21" customFormat="1" x14ac:dyDescent="0.45">
      <c r="A50" s="16">
        <v>46304</v>
      </c>
      <c r="B50" s="17">
        <v>41</v>
      </c>
      <c r="C50" s="17" t="s">
        <v>100</v>
      </c>
      <c r="D50" s="18" t="s">
        <v>101</v>
      </c>
      <c r="E50" s="18" t="s">
        <v>20</v>
      </c>
      <c r="F50" s="18"/>
      <c r="G50" s="18"/>
      <c r="H50" s="19">
        <v>4692</v>
      </c>
      <c r="I50" s="22">
        <v>194.04</v>
      </c>
      <c r="J50" s="23"/>
    </row>
    <row r="51" spans="1:10" s="21" customFormat="1" x14ac:dyDescent="0.45">
      <c r="A51" s="16">
        <v>46304</v>
      </c>
      <c r="B51" s="17">
        <v>42</v>
      </c>
      <c r="C51" s="17" t="s">
        <v>102</v>
      </c>
      <c r="D51" s="18" t="s">
        <v>103</v>
      </c>
      <c r="E51" s="18" t="s">
        <v>20</v>
      </c>
      <c r="F51" s="18"/>
      <c r="G51" s="18"/>
      <c r="H51" s="19">
        <v>4695</v>
      </c>
      <c r="I51" s="22">
        <v>762.76199999999994</v>
      </c>
      <c r="J51" s="23"/>
    </row>
    <row r="52" spans="1:10" s="21" customFormat="1" x14ac:dyDescent="0.45">
      <c r="A52" s="16">
        <v>46304</v>
      </c>
      <c r="B52" s="17">
        <v>43</v>
      </c>
      <c r="C52" s="17" t="s">
        <v>104</v>
      </c>
      <c r="D52" s="18" t="s">
        <v>86</v>
      </c>
      <c r="E52" s="18" t="s">
        <v>20</v>
      </c>
      <c r="F52" s="18"/>
      <c r="G52" s="18"/>
      <c r="H52" s="19">
        <v>4696</v>
      </c>
      <c r="I52" s="22">
        <v>138.6</v>
      </c>
      <c r="J52" s="23"/>
    </row>
    <row r="53" spans="1:10" s="21" customFormat="1" x14ac:dyDescent="0.45">
      <c r="A53" s="16">
        <v>46304</v>
      </c>
      <c r="B53" s="17">
        <v>44</v>
      </c>
      <c r="C53" s="17" t="s">
        <v>105</v>
      </c>
      <c r="D53" s="18" t="s">
        <v>106</v>
      </c>
      <c r="E53" s="18" t="s">
        <v>20</v>
      </c>
      <c r="F53" s="18"/>
      <c r="G53" s="18"/>
      <c r="H53" s="19">
        <v>4698</v>
      </c>
      <c r="I53" s="22">
        <v>631.55399999999997</v>
      </c>
      <c r="J53" s="23"/>
    </row>
    <row r="54" spans="1:10" s="21" customFormat="1" x14ac:dyDescent="0.45">
      <c r="A54" s="16">
        <v>46304</v>
      </c>
      <c r="B54" s="17">
        <v>45</v>
      </c>
      <c r="C54" s="17" t="s">
        <v>107</v>
      </c>
      <c r="D54" s="18" t="s">
        <v>108</v>
      </c>
      <c r="E54" s="18" t="s">
        <v>22</v>
      </c>
      <c r="F54" s="18"/>
      <c r="G54" s="18"/>
      <c r="H54" s="19">
        <v>4761</v>
      </c>
      <c r="I54" s="22">
        <v>164.93399999999997</v>
      </c>
      <c r="J54" s="23"/>
    </row>
    <row r="55" spans="1:10" s="21" customFormat="1" x14ac:dyDescent="0.45">
      <c r="A55" s="16">
        <v>46304</v>
      </c>
      <c r="B55" s="17">
        <v>46</v>
      </c>
      <c r="C55" s="17" t="s">
        <v>159</v>
      </c>
      <c r="D55" s="18" t="s">
        <v>160</v>
      </c>
      <c r="E55" s="18" t="s">
        <v>30</v>
      </c>
      <c r="F55" s="18"/>
      <c r="G55" s="18"/>
      <c r="H55" s="19">
        <v>5033</v>
      </c>
      <c r="I55" s="22">
        <v>207.9</v>
      </c>
      <c r="J55" s="23"/>
    </row>
    <row r="56" spans="1:10" s="21" customFormat="1" x14ac:dyDescent="0.45">
      <c r="A56" s="16">
        <v>46304</v>
      </c>
      <c r="B56" s="17">
        <v>47</v>
      </c>
      <c r="C56" s="17" t="s">
        <v>136</v>
      </c>
      <c r="D56" s="18" t="s">
        <v>137</v>
      </c>
      <c r="E56" s="18" t="s">
        <v>30</v>
      </c>
      <c r="F56" s="18"/>
      <c r="G56" s="18"/>
      <c r="H56" s="19">
        <v>5035</v>
      </c>
      <c r="I56" s="22">
        <v>129.59099999999998</v>
      </c>
      <c r="J56" s="23"/>
    </row>
    <row r="57" spans="1:10" s="21" customFormat="1" x14ac:dyDescent="0.45">
      <c r="A57" s="16">
        <v>46304</v>
      </c>
      <c r="B57" s="17">
        <v>48</v>
      </c>
      <c r="C57" s="17" t="s">
        <v>138</v>
      </c>
      <c r="D57" s="18" t="s">
        <v>139</v>
      </c>
      <c r="E57" s="18" t="s">
        <v>30</v>
      </c>
      <c r="F57" s="18"/>
      <c r="G57" s="18"/>
      <c r="H57" s="19">
        <v>5036</v>
      </c>
      <c r="I57" s="22">
        <v>138.6</v>
      </c>
      <c r="J57" s="23"/>
    </row>
    <row r="58" spans="1:10" s="21" customFormat="1" x14ac:dyDescent="0.45">
      <c r="A58" s="16">
        <v>46304</v>
      </c>
      <c r="B58" s="17">
        <v>49</v>
      </c>
      <c r="C58" s="17" t="s">
        <v>140</v>
      </c>
      <c r="D58" s="18" t="s">
        <v>141</v>
      </c>
      <c r="E58" s="18" t="s">
        <v>142</v>
      </c>
      <c r="F58" s="18"/>
      <c r="G58" s="18"/>
      <c r="H58" s="19">
        <v>4956</v>
      </c>
      <c r="I58" s="22">
        <v>627.46</v>
      </c>
      <c r="J58" s="23"/>
    </row>
    <row r="59" spans="1:10" s="21" customFormat="1" x14ac:dyDescent="0.45">
      <c r="A59" s="16">
        <v>46304</v>
      </c>
      <c r="B59" s="17">
        <v>50</v>
      </c>
      <c r="C59" s="17" t="s">
        <v>143</v>
      </c>
      <c r="D59" s="18" t="s">
        <v>144</v>
      </c>
      <c r="E59" s="18" t="s">
        <v>142</v>
      </c>
      <c r="F59" s="18"/>
      <c r="G59" s="18"/>
      <c r="H59" s="19">
        <v>4543</v>
      </c>
      <c r="I59" s="22">
        <v>115.5</v>
      </c>
      <c r="J59" s="23"/>
    </row>
    <row r="60" spans="1:10" s="21" customFormat="1" x14ac:dyDescent="0.45">
      <c r="A60" s="16">
        <v>46304</v>
      </c>
      <c r="B60" s="17">
        <v>51</v>
      </c>
      <c r="C60" s="17" t="s">
        <v>145</v>
      </c>
      <c r="D60" s="18" t="s">
        <v>146</v>
      </c>
      <c r="E60" s="18" t="s">
        <v>39</v>
      </c>
      <c r="F60" s="18"/>
      <c r="G60" s="18"/>
      <c r="H60" s="19">
        <v>4475</v>
      </c>
      <c r="I60" s="22">
        <v>762.3</v>
      </c>
      <c r="J60" s="23"/>
    </row>
    <row r="61" spans="1:10" s="21" customFormat="1" x14ac:dyDescent="0.45">
      <c r="A61" s="16">
        <v>46304</v>
      </c>
      <c r="B61" s="17">
        <v>52</v>
      </c>
      <c r="C61" s="17" t="s">
        <v>147</v>
      </c>
      <c r="D61" s="18" t="s">
        <v>148</v>
      </c>
      <c r="E61" s="18" t="s">
        <v>149</v>
      </c>
      <c r="F61" s="18"/>
      <c r="G61" s="18">
        <v>0</v>
      </c>
      <c r="H61" s="19">
        <v>4469</v>
      </c>
      <c r="I61" s="22">
        <v>5250.63</v>
      </c>
      <c r="J61" s="23"/>
    </row>
    <row r="62" spans="1:10" s="21" customFormat="1" x14ac:dyDescent="0.45">
      <c r="A62" s="16">
        <v>46304</v>
      </c>
      <c r="B62" s="17">
        <v>53</v>
      </c>
      <c r="C62" s="17" t="s">
        <v>150</v>
      </c>
      <c r="D62" s="18" t="s">
        <v>151</v>
      </c>
      <c r="E62" s="18" t="s">
        <v>30</v>
      </c>
      <c r="F62" s="18"/>
      <c r="G62" s="18"/>
      <c r="H62" s="19">
        <v>5034</v>
      </c>
      <c r="I62" s="22">
        <v>247.40099999999998</v>
      </c>
      <c r="J62" s="23"/>
    </row>
    <row r="63" spans="1:10" s="21" customFormat="1" x14ac:dyDescent="0.45">
      <c r="A63" s="16">
        <v>46304</v>
      </c>
      <c r="B63" s="17">
        <v>54</v>
      </c>
      <c r="C63" s="17" t="s">
        <v>152</v>
      </c>
      <c r="D63" s="18" t="s">
        <v>153</v>
      </c>
      <c r="E63" s="18" t="s">
        <v>154</v>
      </c>
      <c r="F63" s="18"/>
      <c r="G63" s="18"/>
      <c r="H63" s="19">
        <v>4959</v>
      </c>
      <c r="I63" s="22">
        <v>462</v>
      </c>
      <c r="J63" s="23"/>
    </row>
    <row r="64" spans="1:10" s="21" customFormat="1" x14ac:dyDescent="0.45">
      <c r="A64" s="16">
        <v>46307</v>
      </c>
      <c r="B64" s="17">
        <v>55</v>
      </c>
      <c r="C64" s="17" t="s">
        <v>109</v>
      </c>
      <c r="D64" s="18" t="s">
        <v>110</v>
      </c>
      <c r="E64" s="18" t="s">
        <v>10</v>
      </c>
      <c r="F64" s="18"/>
      <c r="G64" s="18"/>
      <c r="H64" s="19">
        <v>4334</v>
      </c>
      <c r="I64" s="22">
        <v>371.90999999999997</v>
      </c>
      <c r="J64" s="23"/>
    </row>
    <row r="65" spans="1:10" s="21" customFormat="1" x14ac:dyDescent="0.45">
      <c r="A65" s="16">
        <v>46307</v>
      </c>
      <c r="B65" s="17">
        <v>56</v>
      </c>
      <c r="C65" s="17" t="s">
        <v>111</v>
      </c>
      <c r="D65" s="18" t="s">
        <v>112</v>
      </c>
      <c r="E65" s="18" t="s">
        <v>10</v>
      </c>
      <c r="F65" s="18"/>
      <c r="G65" s="18"/>
      <c r="H65" s="19">
        <v>4328</v>
      </c>
      <c r="I65" s="22">
        <v>554.4</v>
      </c>
      <c r="J65" s="23"/>
    </row>
    <row r="66" spans="1:10" s="21" customFormat="1" x14ac:dyDescent="0.45">
      <c r="A66" s="16">
        <v>46307</v>
      </c>
      <c r="B66" s="17">
        <v>57</v>
      </c>
      <c r="C66" s="17" t="s">
        <v>113</v>
      </c>
      <c r="D66" s="18" t="s">
        <v>114</v>
      </c>
      <c r="E66" s="18" t="s">
        <v>10</v>
      </c>
      <c r="F66" s="18"/>
      <c r="G66" s="18"/>
      <c r="H66" s="19">
        <v>4330</v>
      </c>
      <c r="I66" s="22">
        <v>693</v>
      </c>
      <c r="J66" s="23"/>
    </row>
    <row r="67" spans="1:10" s="21" customFormat="1" x14ac:dyDescent="0.45">
      <c r="A67" s="16">
        <v>46307</v>
      </c>
      <c r="B67" s="17">
        <v>58</v>
      </c>
      <c r="C67" s="17" t="s">
        <v>115</v>
      </c>
      <c r="D67" s="18" t="s">
        <v>116</v>
      </c>
      <c r="E67" s="18" t="s">
        <v>10</v>
      </c>
      <c r="F67" s="18"/>
      <c r="G67" s="18"/>
      <c r="H67" s="19">
        <v>4331</v>
      </c>
      <c r="I67" s="22">
        <v>493.76249999999999</v>
      </c>
      <c r="J67" s="23"/>
    </row>
    <row r="68" spans="1:10" s="21" customFormat="1" x14ac:dyDescent="0.45">
      <c r="A68" s="16">
        <v>46307</v>
      </c>
      <c r="B68" s="17">
        <v>59</v>
      </c>
      <c r="C68" s="17" t="s">
        <v>117</v>
      </c>
      <c r="D68" s="18" t="s">
        <v>118</v>
      </c>
      <c r="E68" s="18" t="s">
        <v>10</v>
      </c>
      <c r="F68" s="18"/>
      <c r="G68" s="18"/>
      <c r="H68" s="19">
        <v>4332</v>
      </c>
      <c r="I68" s="22">
        <v>410.60250000000002</v>
      </c>
      <c r="J68" s="23"/>
    </row>
    <row r="69" spans="1:10" s="21" customFormat="1" x14ac:dyDescent="0.45">
      <c r="A69" s="16">
        <v>46307</v>
      </c>
      <c r="B69" s="17">
        <v>60</v>
      </c>
      <c r="C69" s="17" t="s">
        <v>119</v>
      </c>
      <c r="D69" s="18" t="s">
        <v>120</v>
      </c>
      <c r="E69" s="18" t="s">
        <v>12</v>
      </c>
      <c r="F69" s="18"/>
      <c r="G69" s="18"/>
      <c r="H69" s="19">
        <v>5237</v>
      </c>
      <c r="I69" s="22">
        <v>294.52499999999998</v>
      </c>
      <c r="J69" s="23"/>
    </row>
    <row r="70" spans="1:10" s="21" customFormat="1" x14ac:dyDescent="0.45">
      <c r="A70" s="16">
        <v>46307</v>
      </c>
      <c r="B70" s="17">
        <v>61</v>
      </c>
      <c r="C70" s="17" t="s">
        <v>121</v>
      </c>
      <c r="D70" s="18" t="s">
        <v>122</v>
      </c>
      <c r="E70" s="18" t="s">
        <v>12</v>
      </c>
      <c r="F70" s="18"/>
      <c r="G70" s="18"/>
      <c r="H70" s="19">
        <v>5235</v>
      </c>
      <c r="I70" s="22">
        <v>338.70375000000001</v>
      </c>
      <c r="J70" s="23"/>
    </row>
    <row r="71" spans="1:10" s="21" customFormat="1" x14ac:dyDescent="0.45">
      <c r="A71" s="16">
        <v>46307</v>
      </c>
      <c r="B71" s="17">
        <v>62</v>
      </c>
      <c r="C71" s="17" t="s">
        <v>123</v>
      </c>
      <c r="D71" s="18" t="s">
        <v>124</v>
      </c>
      <c r="E71" s="18" t="s">
        <v>12</v>
      </c>
      <c r="F71" s="18"/>
      <c r="G71" s="18"/>
      <c r="H71" s="19">
        <v>5277</v>
      </c>
      <c r="I71" s="22">
        <v>3244.1062499999998</v>
      </c>
      <c r="J71" s="23"/>
    </row>
    <row r="72" spans="1:10" s="21" customFormat="1" x14ac:dyDescent="0.45">
      <c r="A72" s="16">
        <v>46307</v>
      </c>
      <c r="B72" s="17">
        <v>63</v>
      </c>
      <c r="C72" s="17" t="s">
        <v>125</v>
      </c>
      <c r="D72" s="18" t="s">
        <v>126</v>
      </c>
      <c r="E72" s="18" t="s">
        <v>12</v>
      </c>
      <c r="F72" s="18"/>
      <c r="G72" s="18"/>
      <c r="H72" s="19">
        <v>5236</v>
      </c>
      <c r="I72" s="22">
        <v>277.2</v>
      </c>
      <c r="J72" s="23"/>
    </row>
    <row r="73" spans="1:10" s="21" customFormat="1" x14ac:dyDescent="0.45">
      <c r="A73" s="16">
        <v>46307</v>
      </c>
      <c r="B73" s="17">
        <v>64</v>
      </c>
      <c r="C73" s="17" t="s">
        <v>127</v>
      </c>
      <c r="D73" s="18" t="s">
        <v>128</v>
      </c>
      <c r="E73" s="18" t="s">
        <v>22</v>
      </c>
      <c r="F73" s="18"/>
      <c r="G73" s="18"/>
      <c r="H73" s="19">
        <v>5275</v>
      </c>
      <c r="I73" s="22">
        <v>235.62</v>
      </c>
      <c r="J73" s="23"/>
    </row>
    <row r="74" spans="1:10" s="21" customFormat="1" x14ac:dyDescent="0.45">
      <c r="A74" s="16">
        <v>46307</v>
      </c>
      <c r="B74" s="17">
        <v>65</v>
      </c>
      <c r="C74" s="17" t="s">
        <v>129</v>
      </c>
      <c r="D74" s="18" t="s">
        <v>161</v>
      </c>
      <c r="E74" s="18" t="s">
        <v>22</v>
      </c>
      <c r="F74" s="18"/>
      <c r="G74" s="18"/>
      <c r="H74" s="19">
        <v>5274</v>
      </c>
      <c r="I74" s="22">
        <v>591.36</v>
      </c>
      <c r="J74" s="23"/>
    </row>
    <row r="75" spans="1:10" s="21" customFormat="1" x14ac:dyDescent="0.45">
      <c r="A75" s="16">
        <v>46307</v>
      </c>
      <c r="B75" s="17">
        <v>66</v>
      </c>
      <c r="C75" s="17" t="s">
        <v>130</v>
      </c>
      <c r="D75" s="18" t="s">
        <v>131</v>
      </c>
      <c r="E75" s="18" t="s">
        <v>22</v>
      </c>
      <c r="F75" s="18"/>
      <c r="G75" s="18"/>
      <c r="H75" s="19">
        <v>5273</v>
      </c>
      <c r="I75" s="22">
        <v>450.45</v>
      </c>
      <c r="J75" s="23"/>
    </row>
    <row r="76" spans="1:10" s="21" customFormat="1" x14ac:dyDescent="0.45">
      <c r="A76" s="16">
        <v>46307</v>
      </c>
      <c r="B76" s="17">
        <v>67</v>
      </c>
      <c r="C76" s="17" t="s">
        <v>132</v>
      </c>
      <c r="D76" s="18" t="s">
        <v>133</v>
      </c>
      <c r="E76" s="18" t="s">
        <v>20</v>
      </c>
      <c r="F76" s="18"/>
      <c r="G76" s="18"/>
      <c r="H76" s="19">
        <v>4148</v>
      </c>
      <c r="I76" s="22">
        <v>1092.91875</v>
      </c>
      <c r="J76" s="23"/>
    </row>
    <row r="77" spans="1:10" s="21" customFormat="1" x14ac:dyDescent="0.45">
      <c r="A77" s="16">
        <v>46307</v>
      </c>
      <c r="B77" s="17">
        <v>68</v>
      </c>
      <c r="C77" s="17" t="s">
        <v>185</v>
      </c>
      <c r="D77" s="18" t="s">
        <v>134</v>
      </c>
      <c r="E77" s="18" t="s">
        <v>12</v>
      </c>
      <c r="F77" s="18"/>
      <c r="G77" s="18"/>
      <c r="H77" s="19">
        <v>4148</v>
      </c>
      <c r="I77" s="22">
        <v>690.69</v>
      </c>
      <c r="J77" s="23"/>
    </row>
    <row r="78" spans="1:10" x14ac:dyDescent="0.45">
      <c r="A78" s="24">
        <v>46307</v>
      </c>
      <c r="B78" s="17">
        <v>69</v>
      </c>
      <c r="C78" s="25" t="s">
        <v>186</v>
      </c>
      <c r="D78" s="26" t="s">
        <v>135</v>
      </c>
      <c r="E78" s="26" t="s">
        <v>20</v>
      </c>
      <c r="F78" s="26"/>
      <c r="G78" s="26"/>
      <c r="H78" s="27">
        <v>3975</v>
      </c>
      <c r="I78" s="28">
        <v>259.18199999999996</v>
      </c>
    </row>
    <row r="79" spans="1:10" x14ac:dyDescent="0.45">
      <c r="A79" s="24">
        <v>46307</v>
      </c>
      <c r="B79" s="17">
        <v>70</v>
      </c>
      <c r="C79" s="25" t="s">
        <v>155</v>
      </c>
      <c r="D79" s="35" t="s">
        <v>156</v>
      </c>
      <c r="E79" s="26" t="s">
        <v>30</v>
      </c>
      <c r="F79" s="26"/>
      <c r="G79" s="26"/>
      <c r="H79" s="27">
        <v>5037</v>
      </c>
      <c r="I79" s="28">
        <v>720.72</v>
      </c>
    </row>
    <row r="80" spans="1:10" x14ac:dyDescent="0.45">
      <c r="A80" s="24">
        <v>46307</v>
      </c>
      <c r="B80" s="17">
        <v>71</v>
      </c>
      <c r="C80" s="25" t="s">
        <v>157</v>
      </c>
      <c r="D80" s="35" t="s">
        <v>158</v>
      </c>
      <c r="E80" s="26" t="s">
        <v>30</v>
      </c>
      <c r="F80" s="26"/>
      <c r="G80" s="26"/>
      <c r="H80" s="27">
        <v>5038</v>
      </c>
      <c r="I80" s="28">
        <v>5111.74125</v>
      </c>
    </row>
    <row r="81" spans="1:9" x14ac:dyDescent="0.45">
      <c r="A81" s="24">
        <v>46308</v>
      </c>
      <c r="B81" s="17">
        <v>72</v>
      </c>
      <c r="C81" s="25" t="s">
        <v>187</v>
      </c>
      <c r="D81" s="35" t="s">
        <v>162</v>
      </c>
      <c r="E81" s="26" t="s">
        <v>10</v>
      </c>
      <c r="F81" s="26"/>
      <c r="G81" s="26"/>
      <c r="H81" s="27">
        <v>5174</v>
      </c>
      <c r="I81" s="28">
        <v>346.5</v>
      </c>
    </row>
    <row r="82" spans="1:9" x14ac:dyDescent="0.45">
      <c r="A82" s="24">
        <v>46308</v>
      </c>
      <c r="B82" s="17">
        <v>73</v>
      </c>
      <c r="C82" s="25" t="s">
        <v>188</v>
      </c>
      <c r="D82" s="35" t="s">
        <v>23</v>
      </c>
      <c r="E82" s="26" t="s">
        <v>10</v>
      </c>
      <c r="F82" s="26"/>
      <c r="G82" s="26"/>
      <c r="H82" s="27">
        <v>5173</v>
      </c>
      <c r="I82" s="28">
        <v>256.40999999999997</v>
      </c>
    </row>
    <row r="83" spans="1:9" x14ac:dyDescent="0.45">
      <c r="A83" s="24">
        <v>46308</v>
      </c>
      <c r="B83" s="17">
        <v>74</v>
      </c>
      <c r="C83" s="25" t="s">
        <v>189</v>
      </c>
      <c r="D83" s="35" t="s">
        <v>163</v>
      </c>
      <c r="E83" s="26" t="s">
        <v>17</v>
      </c>
      <c r="F83" s="26"/>
      <c r="G83" s="26"/>
      <c r="H83" s="27">
        <v>2564</v>
      </c>
      <c r="I83" s="28">
        <v>443.52</v>
      </c>
    </row>
    <row r="84" spans="1:9" x14ac:dyDescent="0.45">
      <c r="A84" s="24">
        <v>46308</v>
      </c>
      <c r="B84" s="17">
        <v>75</v>
      </c>
      <c r="C84" s="25" t="s">
        <v>190</v>
      </c>
      <c r="D84" s="35" t="s">
        <v>164</v>
      </c>
      <c r="E84" s="26" t="s">
        <v>12</v>
      </c>
      <c r="F84" s="26"/>
      <c r="G84" s="26"/>
      <c r="H84" s="27">
        <v>5229</v>
      </c>
      <c r="I84" s="28">
        <v>212.52</v>
      </c>
    </row>
    <row r="85" spans="1:9" x14ac:dyDescent="0.45">
      <c r="A85" s="24">
        <v>46308</v>
      </c>
      <c r="B85" s="17">
        <v>76</v>
      </c>
      <c r="C85" s="25" t="s">
        <v>191</v>
      </c>
      <c r="D85" s="35" t="s">
        <v>86</v>
      </c>
      <c r="E85" s="26" t="s">
        <v>20</v>
      </c>
      <c r="F85" s="26"/>
      <c r="G85" s="26"/>
      <c r="H85" s="27">
        <v>2565</v>
      </c>
      <c r="I85" s="28">
        <v>138.6</v>
      </c>
    </row>
    <row r="86" spans="1:9" x14ac:dyDescent="0.45">
      <c r="A86" s="24">
        <v>46308</v>
      </c>
      <c r="B86" s="17">
        <v>77</v>
      </c>
      <c r="C86" s="25" t="s">
        <v>192</v>
      </c>
      <c r="D86" s="35" t="s">
        <v>165</v>
      </c>
      <c r="E86" s="26" t="s">
        <v>20</v>
      </c>
      <c r="F86" s="26"/>
      <c r="G86" s="26"/>
      <c r="H86" s="27">
        <v>2566</v>
      </c>
      <c r="I86" s="28">
        <v>329.86800000000005</v>
      </c>
    </row>
    <row r="87" spans="1:9" x14ac:dyDescent="0.45">
      <c r="A87" s="24">
        <v>46308</v>
      </c>
      <c r="B87" s="17">
        <v>78</v>
      </c>
      <c r="C87" s="25" t="s">
        <v>193</v>
      </c>
      <c r="D87" s="35" t="s">
        <v>166</v>
      </c>
      <c r="E87" s="26" t="s">
        <v>20</v>
      </c>
      <c r="F87" s="26"/>
      <c r="G87" s="26"/>
      <c r="H87" s="27">
        <v>2563</v>
      </c>
      <c r="I87" s="28">
        <v>1148.5319999999999</v>
      </c>
    </row>
    <row r="88" spans="1:9" x14ac:dyDescent="0.45">
      <c r="A88" s="24">
        <v>46308</v>
      </c>
      <c r="B88" s="17">
        <v>79</v>
      </c>
      <c r="C88" s="25" t="s">
        <v>194</v>
      </c>
      <c r="D88" s="35" t="s">
        <v>167</v>
      </c>
      <c r="E88" s="26" t="s">
        <v>12</v>
      </c>
      <c r="F88" s="26"/>
      <c r="G88" s="26"/>
      <c r="H88" s="27">
        <v>2567</v>
      </c>
      <c r="I88" s="28">
        <v>1790.25</v>
      </c>
    </row>
    <row r="89" spans="1:9" x14ac:dyDescent="0.45">
      <c r="A89" s="24">
        <v>46308</v>
      </c>
      <c r="B89" s="17">
        <v>80</v>
      </c>
      <c r="C89" s="25" t="s">
        <v>195</v>
      </c>
      <c r="D89" s="35" t="s">
        <v>168</v>
      </c>
      <c r="E89" s="26" t="s">
        <v>12</v>
      </c>
      <c r="F89" s="26"/>
      <c r="G89" s="26"/>
      <c r="H89" s="27">
        <v>5243</v>
      </c>
      <c r="I89" s="28">
        <v>188.49599999999998</v>
      </c>
    </row>
    <row r="90" spans="1:9" x14ac:dyDescent="0.45">
      <c r="A90" s="24">
        <v>46308</v>
      </c>
      <c r="B90" s="17">
        <v>81</v>
      </c>
      <c r="C90" s="25" t="s">
        <v>196</v>
      </c>
      <c r="D90" s="35" t="s">
        <v>169</v>
      </c>
      <c r="E90" s="26" t="s">
        <v>12</v>
      </c>
      <c r="F90" s="26"/>
      <c r="G90" s="26"/>
      <c r="H90" s="27">
        <v>5242</v>
      </c>
      <c r="I90" s="28">
        <v>2942.94</v>
      </c>
    </row>
    <row r="91" spans="1:9" x14ac:dyDescent="0.45">
      <c r="A91" s="24">
        <v>46308</v>
      </c>
      <c r="B91" s="17">
        <v>82</v>
      </c>
      <c r="C91" s="25" t="s">
        <v>197</v>
      </c>
      <c r="D91" s="35" t="s">
        <v>170</v>
      </c>
      <c r="E91" s="26" t="s">
        <v>12</v>
      </c>
      <c r="F91" s="26"/>
      <c r="G91" s="26"/>
      <c r="H91" s="27">
        <v>5241</v>
      </c>
      <c r="I91" s="28">
        <v>332.64</v>
      </c>
    </row>
    <row r="92" spans="1:9" x14ac:dyDescent="0.45">
      <c r="A92" s="24">
        <v>46308</v>
      </c>
      <c r="B92" s="17">
        <v>83</v>
      </c>
      <c r="C92" s="25" t="s">
        <v>198</v>
      </c>
      <c r="D92" s="35" t="s">
        <v>171</v>
      </c>
      <c r="E92" s="26" t="s">
        <v>12</v>
      </c>
      <c r="F92" s="26"/>
      <c r="G92" s="26"/>
      <c r="H92" s="27">
        <v>5240</v>
      </c>
      <c r="I92" s="28">
        <v>138.6</v>
      </c>
    </row>
    <row r="93" spans="1:9" x14ac:dyDescent="0.45">
      <c r="A93" s="24">
        <v>46308</v>
      </c>
      <c r="B93" s="17">
        <v>84</v>
      </c>
      <c r="C93" s="25" t="s">
        <v>199</v>
      </c>
      <c r="D93" s="35" t="s">
        <v>172</v>
      </c>
      <c r="E93" s="26" t="s">
        <v>12</v>
      </c>
      <c r="F93" s="26"/>
      <c r="G93" s="26"/>
      <c r="H93" s="27">
        <v>5244</v>
      </c>
      <c r="I93" s="28">
        <v>166.32</v>
      </c>
    </row>
    <row r="94" spans="1:9" x14ac:dyDescent="0.45">
      <c r="A94" s="24">
        <v>46308</v>
      </c>
      <c r="B94" s="17">
        <v>85</v>
      </c>
      <c r="C94" s="25" t="s">
        <v>200</v>
      </c>
      <c r="D94" s="35" t="s">
        <v>173</v>
      </c>
      <c r="E94" s="26" t="s">
        <v>12</v>
      </c>
      <c r="F94" s="26"/>
      <c r="G94" s="26"/>
      <c r="H94" s="27">
        <v>5239</v>
      </c>
      <c r="I94" s="28">
        <v>2598.75</v>
      </c>
    </row>
    <row r="95" spans="1:9" x14ac:dyDescent="0.45">
      <c r="A95" s="24">
        <v>46308</v>
      </c>
      <c r="B95" s="17">
        <v>86</v>
      </c>
      <c r="C95" s="25" t="s">
        <v>174</v>
      </c>
      <c r="D95" s="35" t="s">
        <v>175</v>
      </c>
      <c r="E95" s="26" t="s">
        <v>39</v>
      </c>
      <c r="F95" s="26"/>
      <c r="G95" s="26"/>
      <c r="H95" s="27">
        <v>4476</v>
      </c>
      <c r="I95" s="28">
        <v>418.7568</v>
      </c>
    </row>
    <row r="96" spans="1:9" x14ac:dyDescent="0.45">
      <c r="A96" s="24">
        <v>46308</v>
      </c>
      <c r="B96" s="17">
        <v>87</v>
      </c>
      <c r="C96" s="25" t="s">
        <v>176</v>
      </c>
      <c r="D96" s="35" t="s">
        <v>177</v>
      </c>
      <c r="E96" s="26" t="s">
        <v>39</v>
      </c>
      <c r="F96" s="26"/>
      <c r="G96" s="26"/>
      <c r="H96" s="27">
        <v>4477</v>
      </c>
      <c r="I96" s="28">
        <v>263.33999999999997</v>
      </c>
    </row>
    <row r="97" spans="1:9" x14ac:dyDescent="0.45">
      <c r="A97" s="24">
        <v>46308</v>
      </c>
      <c r="B97" s="17">
        <v>88</v>
      </c>
      <c r="C97" s="25" t="s">
        <v>178</v>
      </c>
      <c r="D97" s="35" t="s">
        <v>179</v>
      </c>
      <c r="E97" s="26" t="s">
        <v>39</v>
      </c>
      <c r="F97" s="26"/>
      <c r="G97" s="26"/>
      <c r="H97" s="27">
        <v>4478</v>
      </c>
      <c r="I97" s="28">
        <v>1108.8</v>
      </c>
    </row>
    <row r="98" spans="1:9" x14ac:dyDescent="0.45">
      <c r="A98" s="24">
        <v>46308</v>
      </c>
      <c r="B98" s="17">
        <v>89</v>
      </c>
      <c r="C98" s="25" t="s">
        <v>180</v>
      </c>
      <c r="D98" s="35" t="s">
        <v>181</v>
      </c>
      <c r="E98" s="26" t="s">
        <v>154</v>
      </c>
      <c r="F98" s="26"/>
      <c r="G98" s="26"/>
      <c r="H98" s="27">
        <v>5511</v>
      </c>
      <c r="I98" s="28">
        <v>10985.4822</v>
      </c>
    </row>
    <row r="99" spans="1:9" x14ac:dyDescent="0.45">
      <c r="A99" s="24">
        <v>46308</v>
      </c>
      <c r="B99" s="17">
        <v>90</v>
      </c>
      <c r="C99" s="25" t="s">
        <v>182</v>
      </c>
      <c r="D99" s="35" t="s">
        <v>183</v>
      </c>
      <c r="E99" s="26" t="s">
        <v>184</v>
      </c>
      <c r="F99" s="26"/>
      <c r="G99" s="26"/>
      <c r="H99" s="27">
        <v>4414</v>
      </c>
      <c r="I99" s="28">
        <v>5513.51</v>
      </c>
    </row>
    <row r="100" spans="1:9" x14ac:dyDescent="0.45">
      <c r="A100" s="24">
        <v>46309</v>
      </c>
      <c r="B100" s="17">
        <v>91</v>
      </c>
      <c r="C100" s="25" t="s">
        <v>201</v>
      </c>
      <c r="D100" s="35" t="s">
        <v>202</v>
      </c>
      <c r="E100" s="26" t="s">
        <v>34</v>
      </c>
      <c r="F100" s="26"/>
      <c r="G100" s="26"/>
      <c r="H100" s="27">
        <v>4952</v>
      </c>
      <c r="I100" s="28">
        <v>429.65999999999997</v>
      </c>
    </row>
    <row r="101" spans="1:9" x14ac:dyDescent="0.45">
      <c r="A101" s="24">
        <v>46309</v>
      </c>
      <c r="B101" s="17">
        <v>92</v>
      </c>
      <c r="C101" s="25" t="s">
        <v>203</v>
      </c>
      <c r="D101" s="35" t="s">
        <v>204</v>
      </c>
      <c r="E101" s="26" t="s">
        <v>34</v>
      </c>
      <c r="F101" s="26"/>
      <c r="G101" s="26"/>
      <c r="H101" s="27">
        <v>4958</v>
      </c>
      <c r="I101" s="28">
        <v>304.92</v>
      </c>
    </row>
    <row r="102" spans="1:9" x14ac:dyDescent="0.45">
      <c r="A102" s="24">
        <v>46309</v>
      </c>
      <c r="B102" s="17">
        <v>93</v>
      </c>
      <c r="C102" s="25" t="s">
        <v>205</v>
      </c>
      <c r="D102" s="35" t="s">
        <v>206</v>
      </c>
      <c r="E102" s="26" t="s">
        <v>34</v>
      </c>
      <c r="F102" s="26"/>
      <c r="G102" s="26"/>
      <c r="H102" s="27">
        <v>4960</v>
      </c>
      <c r="I102" s="28">
        <v>376.99199999999996</v>
      </c>
    </row>
    <row r="103" spans="1:9" x14ac:dyDescent="0.45">
      <c r="A103" s="24">
        <v>46309</v>
      </c>
      <c r="B103" s="17">
        <v>94</v>
      </c>
      <c r="C103" s="25" t="s">
        <v>207</v>
      </c>
      <c r="D103" s="35" t="s">
        <v>208</v>
      </c>
      <c r="E103" s="26" t="s">
        <v>34</v>
      </c>
      <c r="F103" s="26"/>
      <c r="G103" s="26"/>
      <c r="H103" s="27">
        <v>3590</v>
      </c>
      <c r="I103" s="28">
        <v>400.29990000000004</v>
      </c>
    </row>
    <row r="104" spans="1:9" x14ac:dyDescent="0.45">
      <c r="A104" s="24">
        <v>46309</v>
      </c>
      <c r="B104" s="17">
        <v>95</v>
      </c>
      <c r="C104" s="25" t="s">
        <v>209</v>
      </c>
      <c r="D104" s="35" t="s">
        <v>210</v>
      </c>
      <c r="E104" s="26" t="s">
        <v>142</v>
      </c>
      <c r="F104" s="26"/>
      <c r="G104" s="26"/>
      <c r="H104" s="27">
        <v>4963</v>
      </c>
      <c r="I104" s="28">
        <v>259.18199999999996</v>
      </c>
    </row>
    <row r="105" spans="1:9" x14ac:dyDescent="0.45">
      <c r="A105" s="24">
        <v>46310</v>
      </c>
      <c r="B105" s="17">
        <v>96</v>
      </c>
      <c r="C105" s="25" t="s">
        <v>211</v>
      </c>
      <c r="D105" s="35" t="s">
        <v>212</v>
      </c>
      <c r="E105" s="26" t="s">
        <v>12</v>
      </c>
      <c r="F105" s="26"/>
      <c r="G105" s="26"/>
      <c r="H105" s="27">
        <v>5116</v>
      </c>
      <c r="I105" s="28">
        <v>1032.28125</v>
      </c>
    </row>
    <row r="106" spans="1:9" x14ac:dyDescent="0.45">
      <c r="A106" s="24">
        <v>46310</v>
      </c>
      <c r="B106" s="17">
        <v>97</v>
      </c>
      <c r="C106" s="25" t="s">
        <v>213</v>
      </c>
      <c r="D106" s="35" t="s">
        <v>214</v>
      </c>
      <c r="E106" s="26" t="s">
        <v>12</v>
      </c>
      <c r="F106" s="26"/>
      <c r="G106" s="26"/>
      <c r="H106" s="27">
        <v>5245</v>
      </c>
      <c r="I106" s="28">
        <v>519.75</v>
      </c>
    </row>
    <row r="107" spans="1:9" x14ac:dyDescent="0.45">
      <c r="A107" s="24">
        <v>46310</v>
      </c>
      <c r="B107" s="17">
        <v>98</v>
      </c>
      <c r="C107" s="25" t="s">
        <v>215</v>
      </c>
      <c r="D107" s="35" t="s">
        <v>216</v>
      </c>
      <c r="E107" s="26" t="s">
        <v>20</v>
      </c>
      <c r="F107" s="26"/>
      <c r="G107" s="26"/>
      <c r="H107" s="27">
        <v>3979</v>
      </c>
      <c r="I107" s="28">
        <v>164.93399999999997</v>
      </c>
    </row>
    <row r="108" spans="1:9" x14ac:dyDescent="0.45">
      <c r="A108" s="24">
        <v>46310</v>
      </c>
      <c r="B108" s="17">
        <v>99</v>
      </c>
      <c r="C108" s="25" t="s">
        <v>217</v>
      </c>
      <c r="D108" s="35" t="s">
        <v>218</v>
      </c>
      <c r="E108" s="26" t="s">
        <v>20</v>
      </c>
      <c r="F108" s="26"/>
      <c r="G108" s="26"/>
      <c r="H108" s="27">
        <v>3978</v>
      </c>
      <c r="I108" s="28">
        <v>138.6</v>
      </c>
    </row>
    <row r="109" spans="1:9" x14ac:dyDescent="0.45">
      <c r="A109" s="24">
        <v>46310</v>
      </c>
      <c r="B109" s="17">
        <v>100</v>
      </c>
      <c r="C109" s="25" t="s">
        <v>219</v>
      </c>
      <c r="D109" s="35" t="s">
        <v>220</v>
      </c>
      <c r="E109" s="26" t="s">
        <v>22</v>
      </c>
      <c r="F109" s="26"/>
      <c r="G109" s="26"/>
      <c r="H109" s="27">
        <v>4764</v>
      </c>
      <c r="I109" s="28">
        <v>263.33999999999997</v>
      </c>
    </row>
    <row r="110" spans="1:9" x14ac:dyDescent="0.45">
      <c r="A110" s="24">
        <v>46310</v>
      </c>
      <c r="B110" s="17">
        <v>101</v>
      </c>
      <c r="C110" s="25" t="s">
        <v>221</v>
      </c>
      <c r="D110" s="35" t="s">
        <v>222</v>
      </c>
      <c r="E110" s="26" t="s">
        <v>22</v>
      </c>
      <c r="F110" s="26"/>
      <c r="G110" s="26"/>
      <c r="H110" s="27">
        <v>4765</v>
      </c>
      <c r="I110" s="28">
        <v>360.36</v>
      </c>
    </row>
    <row r="111" spans="1:9" x14ac:dyDescent="0.45">
      <c r="A111" s="24">
        <v>46310</v>
      </c>
      <c r="B111" s="17">
        <v>102</v>
      </c>
      <c r="C111" s="25" t="s">
        <v>223</v>
      </c>
      <c r="D111" s="35" t="s">
        <v>224</v>
      </c>
      <c r="E111" s="26" t="s">
        <v>10</v>
      </c>
      <c r="F111" s="26"/>
      <c r="G111" s="26"/>
      <c r="H111" s="27">
        <v>5179</v>
      </c>
      <c r="I111" s="28">
        <v>613.59375</v>
      </c>
    </row>
    <row r="112" spans="1:9" x14ac:dyDescent="0.45">
      <c r="A112" s="24">
        <v>46310</v>
      </c>
      <c r="B112" s="17">
        <v>103</v>
      </c>
      <c r="C112" s="25" t="s">
        <v>225</v>
      </c>
      <c r="D112" s="35" t="s">
        <v>226</v>
      </c>
      <c r="E112" s="26" t="s">
        <v>10</v>
      </c>
      <c r="F112" s="26"/>
      <c r="G112" s="26"/>
      <c r="H112" s="27">
        <v>5181</v>
      </c>
      <c r="I112" s="28">
        <v>161.98875000000001</v>
      </c>
    </row>
    <row r="113" spans="1:9" x14ac:dyDescent="0.45">
      <c r="A113" s="24">
        <v>46310</v>
      </c>
      <c r="B113" s="17">
        <v>104</v>
      </c>
      <c r="C113" s="25" t="s">
        <v>227</v>
      </c>
      <c r="D113" s="35" t="s">
        <v>228</v>
      </c>
      <c r="E113" s="26" t="s">
        <v>10</v>
      </c>
      <c r="F113" s="26"/>
      <c r="G113" s="26"/>
      <c r="H113" s="27">
        <v>5182</v>
      </c>
      <c r="I113" s="28">
        <v>2494.8000000000002</v>
      </c>
    </row>
    <row r="114" spans="1:9" x14ac:dyDescent="0.45">
      <c r="A114" s="24">
        <v>46310</v>
      </c>
      <c r="B114" s="17">
        <v>105</v>
      </c>
      <c r="C114" s="25" t="s">
        <v>229</v>
      </c>
      <c r="D114" s="35" t="s">
        <v>230</v>
      </c>
      <c r="E114" s="26" t="s">
        <v>10</v>
      </c>
      <c r="F114" s="26"/>
      <c r="G114" s="26"/>
      <c r="H114" s="27">
        <v>5177</v>
      </c>
      <c r="I114" s="28">
        <v>294.52499999999998</v>
      </c>
    </row>
    <row r="115" spans="1:9" x14ac:dyDescent="0.45">
      <c r="A115" s="24">
        <v>46314</v>
      </c>
      <c r="B115" s="17">
        <v>106</v>
      </c>
      <c r="C115" s="25" t="s">
        <v>231</v>
      </c>
      <c r="D115" s="35" t="s">
        <v>232</v>
      </c>
      <c r="E115" s="26" t="s">
        <v>17</v>
      </c>
      <c r="F115" s="26"/>
      <c r="G115" s="26"/>
      <c r="H115" s="27">
        <v>2571</v>
      </c>
      <c r="I115" s="28">
        <v>191.73</v>
      </c>
    </row>
    <row r="116" spans="1:9" x14ac:dyDescent="0.45">
      <c r="A116" s="24">
        <v>46314</v>
      </c>
      <c r="B116" s="17">
        <v>107</v>
      </c>
      <c r="C116" s="25" t="s">
        <v>233</v>
      </c>
      <c r="D116" s="35" t="s">
        <v>234</v>
      </c>
      <c r="E116" s="26" t="s">
        <v>17</v>
      </c>
      <c r="F116" s="26"/>
      <c r="G116" s="26"/>
      <c r="H116" s="27">
        <v>2570</v>
      </c>
      <c r="I116" s="28">
        <v>164.93399999999997</v>
      </c>
    </row>
    <row r="117" spans="1:9" x14ac:dyDescent="0.45">
      <c r="A117" s="24">
        <v>46314</v>
      </c>
      <c r="B117" s="17">
        <v>108</v>
      </c>
      <c r="C117" s="25" t="s">
        <v>235</v>
      </c>
      <c r="D117" s="35" t="s">
        <v>236</v>
      </c>
      <c r="E117" s="26" t="s">
        <v>12</v>
      </c>
      <c r="F117" s="26"/>
      <c r="G117" s="26"/>
      <c r="H117" s="27">
        <v>5248</v>
      </c>
      <c r="I117" s="28">
        <v>235.62</v>
      </c>
    </row>
    <row r="118" spans="1:9" x14ac:dyDescent="0.45">
      <c r="A118" s="24">
        <v>46314</v>
      </c>
      <c r="B118" s="17">
        <v>109</v>
      </c>
      <c r="C118" s="25" t="s">
        <v>237</v>
      </c>
      <c r="D118" s="35" t="s">
        <v>238</v>
      </c>
      <c r="E118" s="26" t="s">
        <v>12</v>
      </c>
      <c r="F118" s="26"/>
      <c r="G118" s="26"/>
      <c r="H118" s="27">
        <v>5401</v>
      </c>
      <c r="I118" s="28">
        <v>848.92499999999995</v>
      </c>
    </row>
    <row r="119" spans="1:9" x14ac:dyDescent="0.45">
      <c r="A119" s="24">
        <v>46314</v>
      </c>
      <c r="B119" s="17">
        <v>110</v>
      </c>
      <c r="C119" s="25" t="s">
        <v>239</v>
      </c>
      <c r="D119" s="35" t="s">
        <v>240</v>
      </c>
      <c r="E119" s="26" t="s">
        <v>12</v>
      </c>
      <c r="F119" s="26"/>
      <c r="G119" s="26"/>
      <c r="H119" s="27">
        <v>5403</v>
      </c>
      <c r="I119" s="28">
        <v>191.44125</v>
      </c>
    </row>
    <row r="120" spans="1:9" x14ac:dyDescent="0.45">
      <c r="A120" s="24">
        <v>46314</v>
      </c>
      <c r="B120" s="17">
        <v>111</v>
      </c>
      <c r="C120" s="25" t="s">
        <v>241</v>
      </c>
      <c r="D120" s="35" t="s">
        <v>242</v>
      </c>
      <c r="E120" s="26" t="s">
        <v>93</v>
      </c>
      <c r="F120" s="26"/>
      <c r="G120" s="26"/>
      <c r="H120" s="27">
        <v>5247</v>
      </c>
      <c r="I120" s="28">
        <v>294.52499999999998</v>
      </c>
    </row>
    <row r="121" spans="1:9" x14ac:dyDescent="0.45">
      <c r="A121" s="24">
        <v>46314</v>
      </c>
      <c r="B121" s="17">
        <v>112</v>
      </c>
      <c r="C121" s="25" t="s">
        <v>243</v>
      </c>
      <c r="D121" s="35" t="s">
        <v>244</v>
      </c>
      <c r="E121" s="26" t="s">
        <v>12</v>
      </c>
      <c r="F121" s="26"/>
      <c r="G121" s="26"/>
      <c r="H121" s="27">
        <v>5246</v>
      </c>
      <c r="I121" s="28">
        <v>401.94</v>
      </c>
    </row>
    <row r="122" spans="1:9" x14ac:dyDescent="0.45">
      <c r="A122" s="24">
        <v>46314</v>
      </c>
      <c r="B122" s="17">
        <v>113</v>
      </c>
      <c r="C122" s="25" t="s">
        <v>245</v>
      </c>
      <c r="D122" s="35" t="s">
        <v>246</v>
      </c>
      <c r="E122" s="26" t="s">
        <v>12</v>
      </c>
      <c r="F122" s="26"/>
      <c r="G122" s="26"/>
      <c r="H122" s="27">
        <v>5115</v>
      </c>
      <c r="I122" s="28">
        <v>220.89375000000001</v>
      </c>
    </row>
    <row r="123" spans="1:9" x14ac:dyDescent="0.45">
      <c r="A123" s="24">
        <v>46314</v>
      </c>
      <c r="B123" s="17">
        <v>114</v>
      </c>
      <c r="C123" s="25" t="s">
        <v>247</v>
      </c>
      <c r="D123" s="35" t="s">
        <v>248</v>
      </c>
      <c r="E123" s="26" t="s">
        <v>12</v>
      </c>
      <c r="F123" s="26"/>
      <c r="G123" s="26"/>
      <c r="H123" s="27">
        <v>5117</v>
      </c>
      <c r="I123" s="28">
        <v>589.04999999999995</v>
      </c>
    </row>
    <row r="124" spans="1:9" x14ac:dyDescent="0.45">
      <c r="A124" s="24">
        <v>46314</v>
      </c>
      <c r="B124" s="17">
        <v>115</v>
      </c>
      <c r="C124" s="25" t="s">
        <v>249</v>
      </c>
      <c r="D124" s="35" t="s">
        <v>246</v>
      </c>
      <c r="E124" s="26" t="s">
        <v>12</v>
      </c>
      <c r="F124" s="26"/>
      <c r="G124" s="26"/>
      <c r="H124" s="27">
        <v>5118</v>
      </c>
      <c r="I124" s="28">
        <v>220.89375000000001</v>
      </c>
    </row>
    <row r="125" spans="1:9" x14ac:dyDescent="0.45">
      <c r="A125" s="24">
        <v>46314</v>
      </c>
      <c r="B125" s="17">
        <v>116</v>
      </c>
      <c r="C125" s="25" t="s">
        <v>250</v>
      </c>
      <c r="D125" s="35" t="s">
        <v>251</v>
      </c>
      <c r="E125" s="26" t="s">
        <v>20</v>
      </c>
      <c r="F125" s="26"/>
      <c r="G125" s="26"/>
      <c r="H125" s="27">
        <v>2568</v>
      </c>
      <c r="I125" s="28">
        <v>1531.53</v>
      </c>
    </row>
    <row r="126" spans="1:9" x14ac:dyDescent="0.45">
      <c r="A126" s="24">
        <v>46314</v>
      </c>
      <c r="B126" s="17">
        <v>117</v>
      </c>
      <c r="C126" s="25" t="s">
        <v>252</v>
      </c>
      <c r="D126" s="35" t="s">
        <v>253</v>
      </c>
      <c r="E126" s="26" t="s">
        <v>20</v>
      </c>
      <c r="F126" s="26"/>
      <c r="G126" s="26"/>
      <c r="H126" s="27">
        <v>2569</v>
      </c>
      <c r="I126" s="28">
        <v>115.5</v>
      </c>
    </row>
    <row r="127" spans="1:9" x14ac:dyDescent="0.45">
      <c r="A127" s="24">
        <v>46314</v>
      </c>
      <c r="B127" s="17">
        <v>118</v>
      </c>
      <c r="C127" s="25" t="s">
        <v>254</v>
      </c>
      <c r="D127" s="35" t="s">
        <v>255</v>
      </c>
      <c r="E127" s="26" t="s">
        <v>20</v>
      </c>
      <c r="F127" s="26"/>
      <c r="G127" s="26"/>
      <c r="H127" s="27">
        <v>3979</v>
      </c>
      <c r="I127" s="28">
        <v>282.74399999999997</v>
      </c>
    </row>
    <row r="128" spans="1:9" x14ac:dyDescent="0.45">
      <c r="A128" s="24">
        <v>46314</v>
      </c>
      <c r="B128" s="17">
        <v>119</v>
      </c>
      <c r="C128" s="25" t="s">
        <v>256</v>
      </c>
      <c r="D128" s="35" t="s">
        <v>257</v>
      </c>
      <c r="E128" s="26" t="s">
        <v>20</v>
      </c>
      <c r="F128" s="26"/>
      <c r="G128" s="26"/>
      <c r="H128" s="27">
        <v>4766</v>
      </c>
      <c r="I128" s="28">
        <v>221.76</v>
      </c>
    </row>
    <row r="129" spans="1:10" x14ac:dyDescent="0.45">
      <c r="A129" s="24">
        <v>46314</v>
      </c>
      <c r="B129" s="17">
        <v>120</v>
      </c>
      <c r="C129" s="25" t="s">
        <v>258</v>
      </c>
      <c r="D129" s="35" t="s">
        <v>259</v>
      </c>
      <c r="E129" s="26" t="s">
        <v>22</v>
      </c>
      <c r="F129" s="26"/>
      <c r="G129" s="26"/>
      <c r="H129" s="27">
        <v>4767</v>
      </c>
      <c r="I129" s="28">
        <v>184.8</v>
      </c>
    </row>
    <row r="130" spans="1:10" x14ac:dyDescent="0.45">
      <c r="A130" s="24">
        <v>46314</v>
      </c>
      <c r="B130" s="17">
        <v>121</v>
      </c>
      <c r="C130" s="25" t="s">
        <v>260</v>
      </c>
      <c r="D130" s="35" t="s">
        <v>261</v>
      </c>
      <c r="E130" s="26" t="s">
        <v>22</v>
      </c>
      <c r="F130" s="26"/>
      <c r="G130" s="26"/>
      <c r="H130" s="27">
        <v>5278</v>
      </c>
      <c r="I130" s="28">
        <v>2055.9</v>
      </c>
    </row>
    <row r="131" spans="1:10" x14ac:dyDescent="0.45">
      <c r="A131" s="24">
        <v>46314</v>
      </c>
      <c r="B131" s="17">
        <v>122</v>
      </c>
      <c r="C131" s="25" t="s">
        <v>262</v>
      </c>
      <c r="D131" s="35" t="s">
        <v>263</v>
      </c>
      <c r="E131" s="26" t="s">
        <v>22</v>
      </c>
      <c r="F131" s="26"/>
      <c r="G131" s="26"/>
      <c r="H131" s="27">
        <v>5280</v>
      </c>
      <c r="I131" s="28">
        <v>138.6</v>
      </c>
    </row>
    <row r="132" spans="1:10" x14ac:dyDescent="0.45">
      <c r="A132" s="24">
        <v>46314</v>
      </c>
      <c r="B132" s="17">
        <v>123</v>
      </c>
      <c r="C132" s="25" t="s">
        <v>264</v>
      </c>
      <c r="D132" s="35" t="s">
        <v>265</v>
      </c>
      <c r="E132" s="26" t="s">
        <v>22</v>
      </c>
      <c r="F132" s="26"/>
      <c r="G132" s="26"/>
      <c r="H132" s="27">
        <v>5279</v>
      </c>
      <c r="I132" s="28">
        <v>1898.82</v>
      </c>
      <c r="J132" s="33">
        <f>SUM(I115:I132)</f>
        <v>9789.6067500000008</v>
      </c>
    </row>
    <row r="133" spans="1:10" x14ac:dyDescent="0.45">
      <c r="A133" s="24">
        <v>46314</v>
      </c>
      <c r="B133" s="17">
        <v>124</v>
      </c>
      <c r="C133" s="25" t="s">
        <v>266</v>
      </c>
      <c r="D133" s="35" t="s">
        <v>267</v>
      </c>
      <c r="E133" s="26" t="s">
        <v>142</v>
      </c>
      <c r="F133" s="26"/>
      <c r="G133" s="26"/>
      <c r="H133" s="27">
        <v>5451</v>
      </c>
      <c r="I133" s="28">
        <v>531.29999999999995</v>
      </c>
      <c r="J133" s="33"/>
    </row>
    <row r="134" spans="1:10" x14ac:dyDescent="0.45">
      <c r="A134" s="24">
        <v>46314</v>
      </c>
      <c r="B134" s="17">
        <v>125</v>
      </c>
      <c r="C134" s="25" t="s">
        <v>268</v>
      </c>
      <c r="D134" s="35" t="s">
        <v>269</v>
      </c>
      <c r="E134" s="26" t="s">
        <v>154</v>
      </c>
      <c r="F134" s="26"/>
      <c r="G134" s="26"/>
      <c r="H134" s="27">
        <v>5501</v>
      </c>
      <c r="I134" s="28">
        <v>457.38</v>
      </c>
      <c r="J134" s="33"/>
    </row>
    <row r="135" spans="1:10" x14ac:dyDescent="0.45">
      <c r="A135" s="24">
        <v>46314</v>
      </c>
      <c r="B135" s="17">
        <v>126</v>
      </c>
      <c r="C135" s="25" t="s">
        <v>270</v>
      </c>
      <c r="D135" s="35" t="s">
        <v>271</v>
      </c>
      <c r="E135" s="26" t="s">
        <v>34</v>
      </c>
      <c r="F135" s="26"/>
      <c r="G135" s="26"/>
      <c r="H135" s="27">
        <v>4252</v>
      </c>
      <c r="I135" s="28">
        <v>530.14499999999998</v>
      </c>
      <c r="J135" s="33"/>
    </row>
    <row r="136" spans="1:10" x14ac:dyDescent="0.45">
      <c r="A136" s="24">
        <v>46314</v>
      </c>
      <c r="B136" s="17">
        <v>127</v>
      </c>
      <c r="C136" s="25" t="s">
        <v>272</v>
      </c>
      <c r="D136" s="35" t="s">
        <v>273</v>
      </c>
      <c r="E136" s="26" t="s">
        <v>34</v>
      </c>
      <c r="F136" s="26"/>
      <c r="G136" s="26"/>
      <c r="H136" s="27">
        <v>4964</v>
      </c>
      <c r="I136" s="28">
        <v>270.96299999999997</v>
      </c>
      <c r="J136" s="33"/>
    </row>
    <row r="137" spans="1:10" x14ac:dyDescent="0.45">
      <c r="A137" s="24">
        <v>46314</v>
      </c>
      <c r="B137" s="17">
        <v>128</v>
      </c>
      <c r="C137" s="25" t="s">
        <v>274</v>
      </c>
      <c r="D137" s="35" t="s">
        <v>275</v>
      </c>
      <c r="E137" s="26" t="s">
        <v>154</v>
      </c>
      <c r="F137" s="26"/>
      <c r="G137" s="26"/>
      <c r="H137" s="27">
        <v>5514</v>
      </c>
      <c r="I137" s="28">
        <v>1110.6480000000001</v>
      </c>
      <c r="J137" s="33"/>
    </row>
    <row r="138" spans="1:10" x14ac:dyDescent="0.45">
      <c r="A138" s="24">
        <v>46314</v>
      </c>
      <c r="B138" s="17">
        <v>129</v>
      </c>
      <c r="C138" s="25" t="s">
        <v>276</v>
      </c>
      <c r="D138" s="35" t="s">
        <v>277</v>
      </c>
      <c r="E138" s="26" t="s">
        <v>34</v>
      </c>
      <c r="F138" s="26"/>
      <c r="G138" s="26"/>
      <c r="H138" s="27">
        <v>4965</v>
      </c>
      <c r="I138" s="28">
        <v>359.49374999999998</v>
      </c>
      <c r="J138" s="33"/>
    </row>
    <row r="139" spans="1:10" x14ac:dyDescent="0.45">
      <c r="A139" s="24">
        <v>46314</v>
      </c>
      <c r="B139" s="17">
        <v>130</v>
      </c>
      <c r="C139" s="25" t="s">
        <v>278</v>
      </c>
      <c r="D139" s="35" t="s">
        <v>279</v>
      </c>
      <c r="E139" s="26" t="s">
        <v>34</v>
      </c>
      <c r="F139" s="26"/>
      <c r="G139" s="26"/>
      <c r="H139" s="27">
        <v>4968</v>
      </c>
      <c r="I139" s="28">
        <v>891.66</v>
      </c>
      <c r="J139" s="33"/>
    </row>
    <row r="140" spans="1:10" x14ac:dyDescent="0.45">
      <c r="A140" s="24">
        <v>46314</v>
      </c>
      <c r="B140" s="17">
        <v>131</v>
      </c>
      <c r="C140" s="25" t="s">
        <v>280</v>
      </c>
      <c r="D140" s="35" t="s">
        <v>281</v>
      </c>
      <c r="E140" s="26" t="s">
        <v>30</v>
      </c>
      <c r="F140" s="26"/>
      <c r="G140" s="26"/>
      <c r="H140" s="27">
        <v>4911</v>
      </c>
      <c r="I140" s="28">
        <v>491.10599999999999</v>
      </c>
      <c r="J140" s="33"/>
    </row>
    <row r="141" spans="1:10" x14ac:dyDescent="0.45">
      <c r="A141" s="24">
        <v>46314</v>
      </c>
      <c r="B141" s="17">
        <v>132</v>
      </c>
      <c r="C141" s="25" t="s">
        <v>282</v>
      </c>
      <c r="D141" s="35" t="s">
        <v>283</v>
      </c>
      <c r="E141" s="26" t="s">
        <v>30</v>
      </c>
      <c r="F141" s="26"/>
      <c r="G141" s="26"/>
      <c r="H141" s="27">
        <v>5042</v>
      </c>
      <c r="I141" s="28">
        <v>943.98149999999998</v>
      </c>
      <c r="J141" s="33"/>
    </row>
    <row r="142" spans="1:10" x14ac:dyDescent="0.45">
      <c r="A142" s="24">
        <v>46314</v>
      </c>
      <c r="B142" s="17">
        <v>133</v>
      </c>
      <c r="C142" s="25" t="s">
        <v>284</v>
      </c>
      <c r="D142" s="35" t="s">
        <v>285</v>
      </c>
      <c r="E142" s="26" t="s">
        <v>30</v>
      </c>
      <c r="F142" s="26"/>
      <c r="G142" s="26"/>
      <c r="H142" s="27">
        <v>5512</v>
      </c>
      <c r="I142" s="28">
        <v>504.73500000000001</v>
      </c>
      <c r="J142" s="33"/>
    </row>
    <row r="143" spans="1:10" x14ac:dyDescent="0.45">
      <c r="A143" s="24">
        <v>46314</v>
      </c>
      <c r="B143" s="17">
        <v>134</v>
      </c>
      <c r="C143" s="25" t="s">
        <v>286</v>
      </c>
      <c r="D143" s="35" t="s">
        <v>287</v>
      </c>
      <c r="E143" s="26" t="s">
        <v>39</v>
      </c>
      <c r="F143" s="26"/>
      <c r="G143" s="26"/>
      <c r="H143" s="27">
        <v>4482</v>
      </c>
      <c r="I143" s="28">
        <v>1157.6449499999999</v>
      </c>
    </row>
    <row r="144" spans="1:10" x14ac:dyDescent="0.45">
      <c r="A144" s="24">
        <v>46314</v>
      </c>
      <c r="B144" s="17">
        <v>135</v>
      </c>
      <c r="C144" s="25" t="s">
        <v>288</v>
      </c>
      <c r="D144" s="35" t="s">
        <v>289</v>
      </c>
      <c r="E144" s="26" t="s">
        <v>39</v>
      </c>
      <c r="F144" s="26"/>
      <c r="G144" s="26"/>
      <c r="H144" s="27">
        <v>4480</v>
      </c>
      <c r="I144" s="28">
        <v>415.8</v>
      </c>
    </row>
    <row r="145" spans="1:10" x14ac:dyDescent="0.45">
      <c r="A145" s="24">
        <v>46314</v>
      </c>
      <c r="B145" s="17">
        <v>136</v>
      </c>
      <c r="C145" s="25" t="s">
        <v>290</v>
      </c>
      <c r="D145" s="35" t="s">
        <v>291</v>
      </c>
      <c r="E145" s="26" t="s">
        <v>34</v>
      </c>
      <c r="F145" s="26"/>
      <c r="G145" s="26"/>
      <c r="H145" s="27">
        <v>4967</v>
      </c>
      <c r="I145" s="28">
        <v>353.43</v>
      </c>
    </row>
    <row r="146" spans="1:10" x14ac:dyDescent="0.45">
      <c r="A146" s="24">
        <v>46314</v>
      </c>
      <c r="B146" s="17">
        <v>137</v>
      </c>
      <c r="C146" s="25" t="s">
        <v>292</v>
      </c>
      <c r="D146" s="35" t="s">
        <v>293</v>
      </c>
      <c r="E146" s="26" t="s">
        <v>294</v>
      </c>
      <c r="F146" s="26"/>
      <c r="G146" s="26"/>
      <c r="H146" s="27">
        <v>4416</v>
      </c>
      <c r="I146" s="28">
        <v>650.49600000000009</v>
      </c>
    </row>
    <row r="147" spans="1:10" x14ac:dyDescent="0.45">
      <c r="A147" s="24">
        <v>46314</v>
      </c>
      <c r="B147" s="17">
        <v>138</v>
      </c>
      <c r="C147" s="25" t="s">
        <v>295</v>
      </c>
      <c r="D147" s="35" t="s">
        <v>296</v>
      </c>
      <c r="E147" s="26" t="s">
        <v>184</v>
      </c>
      <c r="F147" s="26"/>
      <c r="G147" s="26"/>
      <c r="H147" s="27">
        <v>4415</v>
      </c>
      <c r="I147" s="28">
        <v>1397.55</v>
      </c>
    </row>
    <row r="148" spans="1:10" x14ac:dyDescent="0.45">
      <c r="A148" s="24">
        <v>46314</v>
      </c>
      <c r="B148" s="17">
        <v>139</v>
      </c>
      <c r="C148" s="25" t="s">
        <v>297</v>
      </c>
      <c r="D148" s="35" t="s">
        <v>298</v>
      </c>
      <c r="E148" s="26" t="s">
        <v>299</v>
      </c>
      <c r="F148" s="26"/>
      <c r="G148" s="26"/>
      <c r="H148" s="27">
        <v>4352</v>
      </c>
      <c r="I148" s="28">
        <v>26207.989500000003</v>
      </c>
      <c r="J148" s="33">
        <f>SUM(I115:I148)</f>
        <v>46063.929450000003</v>
      </c>
    </row>
    <row r="149" spans="1:10" x14ac:dyDescent="0.45">
      <c r="A149" s="24"/>
      <c r="B149" s="17"/>
      <c r="C149" s="25"/>
      <c r="D149" s="35"/>
      <c r="E149" s="26"/>
      <c r="F149" s="26"/>
      <c r="G149" s="26"/>
      <c r="H149" s="27"/>
      <c r="I149" s="28"/>
    </row>
    <row r="150" spans="1:10" x14ac:dyDescent="0.45">
      <c r="A150" s="24"/>
      <c r="B150" s="17"/>
      <c r="C150" s="25"/>
      <c r="D150" s="35"/>
      <c r="E150" s="26"/>
      <c r="F150" s="26"/>
      <c r="G150" s="26"/>
      <c r="H150" s="27"/>
      <c r="I150" s="28"/>
      <c r="J150" s="33">
        <f>SUM(I152-J148)</f>
        <v>167344.96679999985</v>
      </c>
    </row>
    <row r="151" spans="1:10" x14ac:dyDescent="0.45">
      <c r="A151" s="24"/>
      <c r="B151" s="25"/>
      <c r="C151" s="25"/>
      <c r="D151" s="26"/>
      <c r="E151" s="26"/>
      <c r="F151" s="26"/>
      <c r="G151" s="26"/>
      <c r="H151" s="27"/>
      <c r="I151" s="28"/>
    </row>
    <row r="152" spans="1:10" s="9" customFormat="1" ht="24" thickBot="1" x14ac:dyDescent="0.5">
      <c r="A152" s="24"/>
      <c r="B152" s="11"/>
      <c r="C152" s="11"/>
      <c r="D152" s="29" t="s">
        <v>27</v>
      </c>
      <c r="E152" s="30"/>
      <c r="F152" s="30"/>
      <c r="G152" s="30"/>
      <c r="H152" s="31"/>
      <c r="I152" s="32">
        <f>+SUM(I10:I148)</f>
        <v>213408.89624999985</v>
      </c>
    </row>
    <row r="153" spans="1:10" ht="24" thickTop="1" x14ac:dyDescent="0.45"/>
    <row r="154" spans="1:10" x14ac:dyDescent="0.45">
      <c r="I154" s="33"/>
    </row>
    <row r="161" spans="5:5" x14ac:dyDescent="0.45">
      <c r="E161" s="9"/>
    </row>
  </sheetData>
  <mergeCells count="1">
    <mergeCell ref="J17:S17"/>
  </mergeCells>
  <pageMargins left="0.70866141732283472" right="0.70866141732283472" top="0.74803149606299213" bottom="0.74803149606299213" header="0.31496062992125984" footer="0.31496062992125984"/>
  <pageSetup scale="2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</dc:creator>
  <cp:lastModifiedBy>TRINITY</cp:lastModifiedBy>
  <cp:lastPrinted>2026-10-20T07:37:12Z</cp:lastPrinted>
  <dcterms:created xsi:type="dcterms:W3CDTF">2026-10-05T14:11:30Z</dcterms:created>
  <dcterms:modified xsi:type="dcterms:W3CDTF">2026-10-20T07:45:09Z</dcterms:modified>
</cp:coreProperties>
</file>